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ad Log" sheetId="2" state="visible" r:id="rId4"/>
    <sheet name="Ad Sp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<sst xmlns="http://schemas.openxmlformats.org/spreadsheetml/2006/main" count="105" uniqueCount="85">
  <si>
    <t xml:space="preserve">PNG — Revenue-by-Source Scoreboard</t>
  </si>
  <si>
    <t xml:space="preserve">Live view of what's actually closing — judge channels on cost-per-closed-deal &amp; ROAS, not vanity leads. Updated from the Lead Log + Ad Spend tabs.</t>
  </si>
  <si>
    <t xml:space="preserve">AT A GLANCE</t>
  </si>
  <si>
    <t xml:space="preserve">Total Revenue (closed)</t>
  </si>
  <si>
    <t xml:space="preserve">Total Ad Spend</t>
  </si>
  <si>
    <t xml:space="preserve">Blended ROAS</t>
  </si>
  <si>
    <t xml:space="preserve">Total Leads</t>
  </si>
  <si>
    <t xml:space="preserve">Total Closes</t>
  </si>
  <si>
    <t xml:space="preserve">Overall Close Rate</t>
  </si>
  <si>
    <t xml:space="preserve">Avg Speed-to-Lead (mins)</t>
  </si>
  <si>
    <t xml:space="preserve">Backlog — New leads</t>
  </si>
  <si>
    <t xml:space="preserve">BY SOURCE</t>
  </si>
  <si>
    <t xml:space="preserve">Source</t>
  </si>
  <si>
    <t xml:space="preserve">Leads</t>
  </si>
  <si>
    <t xml:space="preserve">Quotes</t>
  </si>
  <si>
    <t xml:space="preserve">Closes</t>
  </si>
  <si>
    <t xml:space="preserve">Revenue ($)</t>
  </si>
  <si>
    <t xml:space="preserve">Spend ($)</t>
  </si>
  <si>
    <t xml:space="preserve">ROAS</t>
  </si>
  <si>
    <t xml:space="preserve">Cost/Lead ($)</t>
  </si>
  <si>
    <t xml:space="preserve">Cost/Close ($)</t>
  </si>
  <si>
    <t xml:space="preserve">Close Rate</t>
  </si>
  <si>
    <t xml:space="preserve">Avg Deal ($)</t>
  </si>
  <si>
    <t xml:space="preserve">Meta-Retargeting</t>
  </si>
  <si>
    <t xml:space="preserve">Meta-Prospecting</t>
  </si>
  <si>
    <t xml:space="preserve">Google Search</t>
  </si>
  <si>
    <t xml:space="preserve">Cold Email</t>
  </si>
  <si>
    <t xml:space="preserve">Reactivation</t>
  </si>
  <si>
    <t xml:space="preserve">0</t>
  </si>
  <si>
    <t xml:space="preserve">Referral</t>
  </si>
  <si>
    <t xml:space="preserve">Other</t>
  </si>
  <si>
    <t xml:space="preserve">TOTAL</t>
  </si>
  <si>
    <t xml:space="preserve">Targets:</t>
  </si>
  <si>
    <t xml:space="preserve">Blended ROAS ≥ 3.0x · Cost/Close &lt; $130 · Cost/Qualified-Lead &lt; $40 · Speed-to-Lead &lt; 60 min · Backlog &lt; 8 (else throttle spend)</t>
  </si>
  <si>
    <t xml:space="preserve">PNG — Lead &amp; Deal Log</t>
  </si>
  <si>
    <t xml:space="preserve">Log every lead the moment it arrives. Gray rows are EXAMPLES — delete them before going live. Source &amp; Stage are dropdowns. The Dashboard updates automatically.</t>
  </si>
  <si>
    <t xml:space="preserve">Date In</t>
  </si>
  <si>
    <t xml:space="preserve">Name</t>
  </si>
  <si>
    <t xml:space="preserve">Business</t>
  </si>
  <si>
    <t xml:space="preserve">Product Interest</t>
  </si>
  <si>
    <t xml:space="preserve">First Touch (mins)</t>
  </si>
  <si>
    <t xml:space="preserve">Stage</t>
  </si>
  <si>
    <t xml:space="preserve">Quote ($)</t>
  </si>
  <si>
    <t xml:space="preserve">Closed Revenue ($)</t>
  </si>
  <si>
    <t xml:space="preserve">Notes</t>
  </si>
  <si>
    <t xml:space="preserve">2026-06-16</t>
  </si>
  <si>
    <t xml:space="preserve">Maria L.</t>
  </si>
  <si>
    <t xml:space="preserve">Taqueria El Sol</t>
  </si>
  <si>
    <t xml:space="preserve">Banners &amp; table cover</t>
  </si>
  <si>
    <t xml:space="preserve">Won</t>
  </si>
  <si>
    <t xml:space="preserve">example — delete</t>
  </si>
  <si>
    <t xml:space="preserve">Jorge R.</t>
  </si>
  <si>
    <t xml:space="preserve">JR Auto Body</t>
  </si>
  <si>
    <t xml:space="preserve">Vehicle magnets</t>
  </si>
  <si>
    <t xml:space="preserve">Quoted</t>
  </si>
  <si>
    <t xml:space="preserve">2026-06-17</t>
  </si>
  <si>
    <t xml:space="preserve">Pastor Ruiz</t>
  </si>
  <si>
    <t xml:space="preserve">Iglesia Vida</t>
  </si>
  <si>
    <t xml:space="preserve">Event banner + backdrop</t>
  </si>
  <si>
    <t xml:space="preserve">Selena M.</t>
  </si>
  <si>
    <t xml:space="preserve">Glam Studio</t>
  </si>
  <si>
    <t xml:space="preserve">Window graphics</t>
  </si>
  <si>
    <t xml:space="preserve">Contacted</t>
  </si>
  <si>
    <t xml:space="preserve">2026-06-18</t>
  </si>
  <si>
    <t xml:space="preserve">Carlos V.</t>
  </si>
  <si>
    <t xml:space="preserve">V Realty Group</t>
  </si>
  <si>
    <t xml:space="preserve">Yard signs + riders</t>
  </si>
  <si>
    <t xml:space="preserve">Ana P.</t>
  </si>
  <si>
    <t xml:space="preserve">Fiestas Ana</t>
  </si>
  <si>
    <t xml:space="preserve">Step-&amp;-repeat backdrop</t>
  </si>
  <si>
    <t xml:space="preserve">Lost</t>
  </si>
  <si>
    <t xml:space="preserve">PNG — Monthly Ad Spend (inputs)</t>
  </si>
  <si>
    <t xml:space="preserve">Enter what you actually spent each month (blue = edit these). Month 1 is pre-filled with the planned split — change to actuals.</t>
  </si>
  <si>
    <t xml:space="preserve">Month</t>
  </si>
  <si>
    <t xml:space="preserve">Meta-Retargeting ($)</t>
  </si>
  <si>
    <t xml:space="preserve">Meta-Prospecting ($)</t>
  </si>
  <si>
    <t xml:space="preserve">Google Search ($)</t>
  </si>
  <si>
    <t xml:space="preserve">Cold Email Tools ($)</t>
  </si>
  <si>
    <t xml:space="preserve">Monthly Total ($)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</si>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</sst>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\x"/>
    <numFmt numFmtId="167" formatCode="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C17A3A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B283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9AA6B2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838"/>
        <bgColor rgb="FF003366"/>
      </patternFill>
    </fill>
    <fill>
      <patternFill patternType="solid">
        <fgColor rgb="FFEDEFF1"/>
        <bgColor rgb="FFFFFFFF"/>
      </patternFill>
    </fill>
    <fill>
      <patternFill patternType="solid">
        <fgColor rgb="FFC17A3A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17A3A"/>
      <rgbColor rgb="FF800080"/>
      <rgbColor rgb="FF008080"/>
      <rgbColor rgb="FFC0C0C0"/>
      <rgbColor rgb="FF808080"/>
      <rgbColor rgb="FF9999FF"/>
      <rgbColor rgb="FF993366"/>
      <rgbColor rgb="FFEDEFF1"/>
      <rgbColor rgb="FFCCFFFF"/>
      <rgbColor rgb="FF660066"/>
      <rgbColor rgb="FFFF8080"/>
      <rgbColor rgb="FF0066CC"/>
      <rgbColor rgb="FFD0D5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6B2"/>
      <rgbColor rgb="FF003366"/>
      <rgbColor rgb="FF339966"/>
      <rgbColor rgb="FF003300"/>
      <rgbColor rgb="FF333300"/>
      <rgbColor rgb="FF993300"/>
      <rgbColor rgb="FF993366"/>
      <rgbColor rgb="FF333399"/>
      <rgbColor rgb="FF1B2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E22</f>
        <v>1940</v>
      </c>
    </row>
    <row r="6" customFormat="false" ht="15" hidden="false" customHeight="false" outlineLevel="0" collapsed="false">
      <c r="A6" s="4" t="s">
        <v>4</v>
      </c>
      <c r="B6" s="5" t="n">
        <f aca="false">F22</f>
        <v>850</v>
      </c>
    </row>
    <row r="7" customFormat="false" ht="15" hidden="false" customHeight="false" outlineLevel="0" collapsed="false">
      <c r="A7" s="4" t="s">
        <v>5</v>
      </c>
      <c r="B7" s="6" t="n">
        <f aca="false">IFERROR(E22/F22,"-")</f>
        <v>2.28235294117647</v>
      </c>
    </row>
    <row r="8" customFormat="false" ht="15" hidden="false" customHeight="false" outlineLevel="0" collapsed="false">
      <c r="A8" s="4" t="s">
        <v>6</v>
      </c>
      <c r="B8" s="7" t="n">
        <f aca="false">B22</f>
        <v>6</v>
      </c>
    </row>
    <row r="9" customFormat="false" ht="15" hidden="false" customHeight="false" outlineLevel="0" collapsed="false">
      <c r="A9" s="4" t="s">
        <v>7</v>
      </c>
      <c r="B9" s="7" t="n">
        <f aca="false">D22</f>
        <v>3</v>
      </c>
    </row>
    <row r="10" customFormat="false" ht="15" hidden="false" customHeight="false" outlineLevel="0" collapsed="false">
      <c r="A10" s="4" t="s">
        <v>8</v>
      </c>
      <c r="B10" s="8" t="n">
        <f aca="false">IFERROR(D22/B22,"-")</f>
        <v>0.5</v>
      </c>
    </row>
    <row r="11" customFormat="false" ht="15" hidden="false" customHeight="false" outlineLevel="0" collapsed="false">
      <c r="A11" s="4" t="s">
        <v>9</v>
      </c>
      <c r="B11" s="7" t="n">
        <f aca="false">IFERROR(AVERAGE('Lead Log'!$F$4:$F$503),"-")</f>
        <v>80</v>
      </c>
    </row>
    <row r="12" customFormat="false" ht="15" hidden="false" customHeight="false" outlineLevel="0" collapsed="false">
      <c r="A12" s="4" t="s">
        <v>10</v>
      </c>
      <c r="B12" s="7" t="n">
        <f aca="false">COUNTIF('Lead Log'!$G$4:$G$503,"New")</f>
        <v>0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9" t="s">
        <v>12</v>
      </c>
      <c r="B14" s="9" t="s">
        <v>13</v>
      </c>
      <c r="C14" s="9" t="s">
        <v>14</v>
      </c>
      <c r="D14" s="9" t="s">
        <v>15</v>
      </c>
      <c r="E14" s="9" t="s">
        <v>16</v>
      </c>
      <c r="F14" s="9" t="s">
        <v>17</v>
      </c>
      <c r="G14" s="9" t="s">
        <v>18</v>
      </c>
      <c r="H14" s="9" t="s">
        <v>19</v>
      </c>
      <c r="I14" s="9" t="s">
        <v>20</v>
      </c>
      <c r="J14" s="9" t="s">
        <v>21</v>
      </c>
      <c r="K14" s="9" t="s">
        <v>22</v>
      </c>
    </row>
    <row r="15" customFormat="false" ht="15" hidden="false" customHeight="false" outlineLevel="0" collapsed="false">
      <c r="A15" s="10" t="s">
        <v>23</v>
      </c>
      <c r="B15" s="11" t="n">
        <f aca="false">COUNTIF('Lead Log'!$D$4:$D$503,$A15)</f>
        <v>1</v>
      </c>
      <c r="C15" s="11" t="n">
        <f aca="false">COUNTIFS('Lead Log'!$D$4:$D$503,$A15,'Lead Log'!$G$4:$G$503,"Quoted")+COUNTIFS('Lead Log'!$D$4:$D$503,$A15,'Lead Log'!$G$4:$G$503,"Won")</f>
        <v>0</v>
      </c>
      <c r="D15" s="11" t="n">
        <f aca="false">COUNTIFS('Lead Log'!$D$4:$D$503,$A15,'Lead Log'!$G$4:$G$503,"Won")</f>
        <v>0</v>
      </c>
      <c r="E15" s="12" t="n">
        <f aca="false">SUMIFS('Lead Log'!$I$4:$I$503,'Lead Log'!$D$4:$D$503,$A15)</f>
        <v>0</v>
      </c>
      <c r="F15" s="12" t="n">
        <f aca="false">'Ad Spend'!$B$10</f>
        <v>400</v>
      </c>
      <c r="G15" s="13" t="n">
        <f aca="false">IFERROR(E15/F15,"-")</f>
        <v>0</v>
      </c>
      <c r="H15" s="12" t="n">
        <f aca="false">IFERROR(F15/B15,"-")</f>
        <v>400</v>
      </c>
      <c r="I15" s="12" t="str">
        <f aca="false">IFERROR(F15/D15,"-")</f>
        <v>-</v>
      </c>
      <c r="J15" s="14" t="n">
        <f aca="false">IFERROR(D15/B15,"-")</f>
        <v>0</v>
      </c>
      <c r="K15" s="12" t="str">
        <f aca="false">IFERROR(E15/D15,"-")</f>
        <v>-</v>
      </c>
    </row>
    <row r="16" customFormat="false" ht="15" hidden="false" customHeight="false" outlineLevel="0" collapsed="false">
      <c r="A16" s="15" t="s">
        <v>24</v>
      </c>
      <c r="B16" s="16" t="n">
        <f aca="false">COUNTIF('Lead Log'!$D$4:$D$503,$A16)</f>
        <v>2</v>
      </c>
      <c r="C16" s="16" t="n">
        <f aca="false">COUNTIFS('Lead Log'!$D$4:$D$503,$A16,'Lead Log'!$G$4:$G$503,"Quoted")+COUNTIFS('Lead Log'!$D$4:$D$503,$A16,'Lead Log'!$G$4:$G$503,"Won")</f>
        <v>1</v>
      </c>
      <c r="D16" s="16" t="n">
        <f aca="false">COUNTIFS('Lead Log'!$D$4:$D$503,$A16,'Lead Log'!$G$4:$G$503,"Won")</f>
        <v>1</v>
      </c>
      <c r="E16" s="17" t="n">
        <f aca="false">SUMIFS('Lead Log'!$I$4:$I$503,'Lead Log'!$D$4:$D$503,$A16)</f>
        <v>420</v>
      </c>
      <c r="F16" s="17" t="n">
        <f aca="false">'Ad Spend'!$C$10</f>
        <v>200</v>
      </c>
      <c r="G16" s="18" t="n">
        <f aca="false">IFERROR(E16/F16,"-")</f>
        <v>2.1</v>
      </c>
      <c r="H16" s="17" t="n">
        <f aca="false">IFERROR(F16/B16,"-")</f>
        <v>100</v>
      </c>
      <c r="I16" s="17" t="n">
        <f aca="false">IFERROR(F16/D16,"-")</f>
        <v>200</v>
      </c>
      <c r="J16" s="19" t="n">
        <f aca="false">IFERROR(D16/B16,"-")</f>
        <v>0.5</v>
      </c>
      <c r="K16" s="17" t="n">
        <f aca="false">IFERROR(E16/D16,"-")</f>
        <v>420</v>
      </c>
    </row>
    <row r="17" customFormat="false" ht="15" hidden="false" customHeight="false" outlineLevel="0" collapsed="false">
      <c r="A17" s="10" t="s">
        <v>25</v>
      </c>
      <c r="B17" s="11" t="n">
        <f aca="false">COUNTIF('Lead Log'!$D$4:$D$503,$A17)</f>
        <v>1</v>
      </c>
      <c r="C17" s="11" t="n">
        <f aca="false">COUNTIFS('Lead Log'!$D$4:$D$503,$A17,'Lead Log'!$G$4:$G$503,"Quoted")+COUNTIFS('Lead Log'!$D$4:$D$503,$A17,'Lead Log'!$G$4:$G$503,"Won")</f>
        <v>1</v>
      </c>
      <c r="D17" s="11" t="n">
        <f aca="false">COUNTIFS('Lead Log'!$D$4:$D$503,$A17,'Lead Log'!$G$4:$G$503,"Won")</f>
        <v>1</v>
      </c>
      <c r="E17" s="12" t="n">
        <f aca="false">SUMIFS('Lead Log'!$I$4:$I$503,'Lead Log'!$D$4:$D$503,$A17)</f>
        <v>640</v>
      </c>
      <c r="F17" s="12" t="n">
        <f aca="false">'Ad Spend'!$D$10</f>
        <v>150</v>
      </c>
      <c r="G17" s="13" t="n">
        <f aca="false">IFERROR(E17/F17,"-")</f>
        <v>4.26666666666667</v>
      </c>
      <c r="H17" s="12" t="n">
        <f aca="false">IFERROR(F17/B17,"-")</f>
        <v>150</v>
      </c>
      <c r="I17" s="12" t="n">
        <f aca="false">IFERROR(F17/D17,"-")</f>
        <v>150</v>
      </c>
      <c r="J17" s="14" t="n">
        <f aca="false">IFERROR(D17/B17,"-")</f>
        <v>1</v>
      </c>
      <c r="K17" s="12" t="n">
        <f aca="false">IFERROR(E17/D17,"-")</f>
        <v>640</v>
      </c>
    </row>
    <row r="18" customFormat="false" ht="15" hidden="false" customHeight="false" outlineLevel="0" collapsed="false">
      <c r="A18" s="15" t="s">
        <v>26</v>
      </c>
      <c r="B18" s="16" t="n">
        <f aca="false">COUNTIF('Lead Log'!$D$4:$D$503,$A18)</f>
        <v>1</v>
      </c>
      <c r="C18" s="16" t="n">
        <f aca="false">COUNTIFS('Lead Log'!$D$4:$D$503,$A18,'Lead Log'!$G$4:$G$503,"Quoted")+COUNTIFS('Lead Log'!$D$4:$D$503,$A18,'Lead Log'!$G$4:$G$503,"Won")</f>
        <v>1</v>
      </c>
      <c r="D18" s="16" t="n">
        <f aca="false">COUNTIFS('Lead Log'!$D$4:$D$503,$A18,'Lead Log'!$G$4:$G$503,"Won")</f>
        <v>0</v>
      </c>
      <c r="E18" s="17" t="n">
        <f aca="false">SUMIFS('Lead Log'!$I$4:$I$503,'Lead Log'!$D$4:$D$503,$A18)</f>
        <v>0</v>
      </c>
      <c r="F18" s="17" t="n">
        <f aca="false">'Ad Spend'!$E$10</f>
        <v>100</v>
      </c>
      <c r="G18" s="18" t="n">
        <f aca="false">IFERROR(E18/F18,"-")</f>
        <v>0</v>
      </c>
      <c r="H18" s="17" t="n">
        <f aca="false">IFERROR(F18/B18,"-")</f>
        <v>100</v>
      </c>
      <c r="I18" s="17" t="str">
        <f aca="false">IFERROR(F18/D18,"-")</f>
        <v>-</v>
      </c>
      <c r="J18" s="19" t="n">
        <f aca="false">IFERROR(D18/B18,"-")</f>
        <v>0</v>
      </c>
      <c r="K18" s="17" t="str">
        <f aca="false">IFERROR(E18/D18,"-")</f>
        <v>-</v>
      </c>
    </row>
    <row r="19" customFormat="false" ht="15" hidden="false" customHeight="false" outlineLevel="0" collapsed="false">
      <c r="A19" s="10" t="s">
        <v>27</v>
      </c>
      <c r="B19" s="11" t="n">
        <f aca="false">COUNTIF('Lead Log'!$D$4:$D$503,$A19)</f>
        <v>1</v>
      </c>
      <c r="C19" s="11" t="n">
        <f aca="false">COUNTIFS('Lead Log'!$D$4:$D$503,$A19,'Lead Log'!$G$4:$G$503,"Quoted")+COUNTIFS('Lead Log'!$D$4:$D$503,$A19,'Lead Log'!$G$4:$G$503,"Won")</f>
        <v>1</v>
      </c>
      <c r="D19" s="11" t="n">
        <f aca="false">COUNTIFS('Lead Log'!$D$4:$D$503,$A19,'Lead Log'!$G$4:$G$503,"Won")</f>
        <v>1</v>
      </c>
      <c r="E19" s="12" t="n">
        <f aca="false">SUMIFS('Lead Log'!$I$4:$I$503,'Lead Log'!$D$4:$D$503,$A19)</f>
        <v>880</v>
      </c>
      <c r="F19" s="12" t="s">
        <v>28</v>
      </c>
      <c r="G19" s="13" t="str">
        <f aca="false">IFERROR(E19/F19,"-")</f>
        <v>-</v>
      </c>
      <c r="H19" s="12" t="n">
        <f aca="false">IFERROR(F19/B19,"-")</f>
        <v>0</v>
      </c>
      <c r="I19" s="12" t="n">
        <f aca="false">IFERROR(F19/D19,"-")</f>
        <v>0</v>
      </c>
      <c r="J19" s="14" t="n">
        <f aca="false">IFERROR(D19/B19,"-")</f>
        <v>1</v>
      </c>
      <c r="K19" s="12" t="n">
        <f aca="false">IFERROR(E19/D19,"-")</f>
        <v>880</v>
      </c>
    </row>
    <row r="20" customFormat="false" ht="15" hidden="false" customHeight="false" outlineLevel="0" collapsed="false">
      <c r="A20" s="15" t="s">
        <v>29</v>
      </c>
      <c r="B20" s="16" t="n">
        <f aca="false">COUNTIF('Lead Log'!$D$4:$D$503,$A20)</f>
        <v>0</v>
      </c>
      <c r="C20" s="16" t="n">
        <f aca="false">COUNTIFS('Lead Log'!$D$4:$D$503,$A20,'Lead Log'!$G$4:$G$503,"Quoted")+COUNTIFS('Lead Log'!$D$4:$D$503,$A20,'Lead Log'!$G$4:$G$503,"Won")</f>
        <v>0</v>
      </c>
      <c r="D20" s="16" t="n">
        <f aca="false">COUNTIFS('Lead Log'!$D$4:$D$503,$A20,'Lead Log'!$G$4:$G$503,"Won")</f>
        <v>0</v>
      </c>
      <c r="E20" s="17" t="n">
        <f aca="false">SUMIFS('Lead Log'!$I$4:$I$503,'Lead Log'!$D$4:$D$503,$A20)</f>
        <v>0</v>
      </c>
      <c r="F20" s="17" t="s">
        <v>28</v>
      </c>
      <c r="G20" s="18" t="str">
        <f aca="false">IFERROR(E20/F20,"-")</f>
        <v>-</v>
      </c>
      <c r="H20" s="17" t="str">
        <f aca="false">IFERROR(F20/B20,"-")</f>
        <v>-</v>
      </c>
      <c r="I20" s="17" t="str">
        <f aca="false">IFERROR(F20/D20,"-")</f>
        <v>-</v>
      </c>
      <c r="J20" s="19" t="str">
        <f aca="false">IFERROR(D20/B20,"-")</f>
        <v>-</v>
      </c>
      <c r="K20" s="17" t="str">
        <f aca="false">IFERROR(E20/D20,"-")</f>
        <v>-</v>
      </c>
    </row>
    <row r="21" customFormat="false" ht="15" hidden="false" customHeight="false" outlineLevel="0" collapsed="false">
      <c r="A21" s="10" t="s">
        <v>30</v>
      </c>
      <c r="B21" s="11" t="n">
        <f aca="false">COUNTIF('Lead Log'!$D$4:$D$503,$A21)</f>
        <v>0</v>
      </c>
      <c r="C21" s="11" t="n">
        <f aca="false">COUNTIFS('Lead Log'!$D$4:$D$503,$A21,'Lead Log'!$G$4:$G$503,"Quoted")+COUNTIFS('Lead Log'!$D$4:$D$503,$A21,'Lead Log'!$G$4:$G$503,"Won")</f>
        <v>0</v>
      </c>
      <c r="D21" s="11" t="n">
        <f aca="false">COUNTIFS('Lead Log'!$D$4:$D$503,$A21,'Lead Log'!$G$4:$G$503,"Won")</f>
        <v>0</v>
      </c>
      <c r="E21" s="12" t="n">
        <f aca="false">SUMIFS('Lead Log'!$I$4:$I$503,'Lead Log'!$D$4:$D$503,$A21)</f>
        <v>0</v>
      </c>
      <c r="F21" s="12" t="s">
        <v>28</v>
      </c>
      <c r="G21" s="13" t="str">
        <f aca="false">IFERROR(E21/F21,"-")</f>
        <v>-</v>
      </c>
      <c r="H21" s="12" t="str">
        <f aca="false">IFERROR(F21/B21,"-")</f>
        <v>-</v>
      </c>
      <c r="I21" s="12" t="str">
        <f aca="false">IFERROR(F21/D21,"-")</f>
        <v>-</v>
      </c>
      <c r="J21" s="14" t="str">
        <f aca="false">IFERROR(D21/B21,"-")</f>
        <v>-</v>
      </c>
      <c r="K21" s="12" t="str">
        <f aca="false">IFERROR(E21/D21,"-")</f>
        <v>-</v>
      </c>
    </row>
    <row r="22" customFormat="false" ht="15" hidden="false" customHeight="false" outlineLevel="0" collapsed="false">
      <c r="A22" s="20" t="s">
        <v>31</v>
      </c>
      <c r="B22" s="21" t="n">
        <f aca="false">SUM(B15:B21)</f>
        <v>6</v>
      </c>
      <c r="C22" s="21" t="n">
        <f aca="false">SUM(C15:C21)</f>
        <v>4</v>
      </c>
      <c r="D22" s="21" t="n">
        <f aca="false">SUM(D15:D21)</f>
        <v>3</v>
      </c>
      <c r="E22" s="22" t="n">
        <f aca="false">SUM(E15:E21)</f>
        <v>1940</v>
      </c>
      <c r="F22" s="22" t="n">
        <f aca="false">SUM(F15:F21)</f>
        <v>850</v>
      </c>
      <c r="G22" s="23" t="n">
        <f aca="false">IFERROR(E22/F22,"-")</f>
        <v>2.28235294117647</v>
      </c>
      <c r="H22" s="22" t="n">
        <f aca="false">IFERROR(F22/B22,"-")</f>
        <v>141.666666666667</v>
      </c>
      <c r="I22" s="22" t="n">
        <f aca="false">IFERROR(F22/D22,"-")</f>
        <v>283.333333333333</v>
      </c>
      <c r="J22" s="24" t="n">
        <f aca="false">IFERROR(D22/B22,"-")</f>
        <v>0.5</v>
      </c>
      <c r="K22" s="22" t="n">
        <f aca="false">IFERROR(E22/D22,"-")</f>
        <v>646.666666666667</v>
      </c>
    </row>
    <row r="24" customFormat="false" ht="15" hidden="false" customHeight="false" outlineLevel="0" collapsed="false">
      <c r="A24" s="3" t="s">
        <v>32</v>
      </c>
      <c r="B24" s="25" t="s">
        <v>33</v>
      </c>
      <c r="C24" s="25"/>
      <c r="D24" s="25"/>
      <c r="E24" s="25"/>
      <c r="F24" s="25"/>
      <c r="G24" s="25"/>
      <c r="H24" s="25"/>
      <c r="I24" s="25"/>
      <c r="J24" s="25"/>
      <c r="K24" s="25"/>
    </row>
  </sheetData>
  <mergeCells count="3">
    <mergeCell ref="A1:K1"/>
    <mergeCell ref="A2:K2"/>
    <mergeCell ref="B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9" t="s">
        <v>36</v>
      </c>
      <c r="B3" s="9" t="s">
        <v>37</v>
      </c>
      <c r="C3" s="9" t="s">
        <v>38</v>
      </c>
      <c r="D3" s="9" t="s">
        <v>12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</row>
    <row r="4" customFormat="false" ht="15" hidden="false" customHeight="false" outlineLevel="0" collapsed="false">
      <c r="A4" s="26" t="s">
        <v>45</v>
      </c>
      <c r="B4" s="27" t="s">
        <v>46</v>
      </c>
      <c r="C4" s="27" t="s">
        <v>47</v>
      </c>
      <c r="D4" s="26" t="s">
        <v>24</v>
      </c>
      <c r="E4" s="27" t="s">
        <v>48</v>
      </c>
      <c r="F4" s="26" t="n">
        <v>35</v>
      </c>
      <c r="G4" s="26" t="s">
        <v>49</v>
      </c>
      <c r="H4" s="28" t="n">
        <v>420</v>
      </c>
      <c r="I4" s="28" t="n">
        <v>420</v>
      </c>
      <c r="J4" s="27" t="s">
        <v>50</v>
      </c>
    </row>
    <row r="5" customFormat="false" ht="15" hidden="false" customHeight="false" outlineLevel="0" collapsed="false">
      <c r="A5" s="26" t="s">
        <v>45</v>
      </c>
      <c r="B5" s="27" t="s">
        <v>51</v>
      </c>
      <c r="C5" s="27" t="s">
        <v>52</v>
      </c>
      <c r="D5" s="26" t="s">
        <v>26</v>
      </c>
      <c r="E5" s="27" t="s">
        <v>53</v>
      </c>
      <c r="F5" s="26" t="n">
        <v>120</v>
      </c>
      <c r="G5" s="26" t="s">
        <v>54</v>
      </c>
      <c r="H5" s="28" t="n">
        <v>260</v>
      </c>
      <c r="I5" s="28"/>
      <c r="J5" s="27" t="s">
        <v>50</v>
      </c>
    </row>
    <row r="6" customFormat="false" ht="15" hidden="false" customHeight="false" outlineLevel="0" collapsed="false">
      <c r="A6" s="26" t="s">
        <v>55</v>
      </c>
      <c r="B6" s="27" t="s">
        <v>56</v>
      </c>
      <c r="C6" s="27" t="s">
        <v>57</v>
      </c>
      <c r="D6" s="26" t="s">
        <v>27</v>
      </c>
      <c r="E6" s="27" t="s">
        <v>58</v>
      </c>
      <c r="F6" s="26" t="n">
        <v>15</v>
      </c>
      <c r="G6" s="26" t="s">
        <v>49</v>
      </c>
      <c r="H6" s="28" t="n">
        <v>880</v>
      </c>
      <c r="I6" s="28" t="n">
        <v>880</v>
      </c>
      <c r="J6" s="27" t="s">
        <v>50</v>
      </c>
    </row>
    <row r="7" customFormat="false" ht="15" hidden="false" customHeight="false" outlineLevel="0" collapsed="false">
      <c r="A7" s="26" t="s">
        <v>55</v>
      </c>
      <c r="B7" s="27" t="s">
        <v>59</v>
      </c>
      <c r="C7" s="27" t="s">
        <v>60</v>
      </c>
      <c r="D7" s="26" t="s">
        <v>23</v>
      </c>
      <c r="E7" s="27" t="s">
        <v>61</v>
      </c>
      <c r="F7" s="26" t="n">
        <v>50</v>
      </c>
      <c r="G7" s="26" t="s">
        <v>62</v>
      </c>
      <c r="H7" s="28"/>
      <c r="I7" s="28"/>
      <c r="J7" s="27" t="s">
        <v>50</v>
      </c>
    </row>
    <row r="8" customFormat="false" ht="15" hidden="false" customHeight="false" outlineLevel="0" collapsed="false">
      <c r="A8" s="26" t="s">
        <v>63</v>
      </c>
      <c r="B8" s="27" t="s">
        <v>64</v>
      </c>
      <c r="C8" s="27" t="s">
        <v>65</v>
      </c>
      <c r="D8" s="26" t="s">
        <v>25</v>
      </c>
      <c r="E8" s="27" t="s">
        <v>66</v>
      </c>
      <c r="F8" s="26" t="n">
        <v>20</v>
      </c>
      <c r="G8" s="26" t="s">
        <v>49</v>
      </c>
      <c r="H8" s="28" t="n">
        <v>640</v>
      </c>
      <c r="I8" s="28" t="n">
        <v>640</v>
      </c>
      <c r="J8" s="27" t="s">
        <v>50</v>
      </c>
    </row>
    <row r="9" customFormat="false" ht="15" hidden="false" customHeight="false" outlineLevel="0" collapsed="false">
      <c r="A9" s="26" t="s">
        <v>63</v>
      </c>
      <c r="B9" s="27" t="s">
        <v>67</v>
      </c>
      <c r="C9" s="27" t="s">
        <v>68</v>
      </c>
      <c r="D9" s="26" t="s">
        <v>24</v>
      </c>
      <c r="E9" s="27" t="s">
        <v>69</v>
      </c>
      <c r="F9" s="26" t="n">
        <v>240</v>
      </c>
      <c r="G9" s="26" t="s">
        <v>70</v>
      </c>
      <c r="H9" s="28"/>
      <c r="I9" s="28"/>
      <c r="J9" s="27" t="s">
        <v>50</v>
      </c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29"/>
      <c r="G10" s="29"/>
      <c r="H10" s="30"/>
      <c r="I10" s="30"/>
      <c r="J10" s="29"/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29"/>
      <c r="H11" s="30"/>
      <c r="I11" s="30"/>
      <c r="J11" s="29"/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9"/>
      <c r="G12" s="29"/>
      <c r="H12" s="30"/>
      <c r="I12" s="30"/>
      <c r="J12" s="29"/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  <c r="G13" s="29"/>
      <c r="H13" s="30"/>
      <c r="I13" s="30"/>
      <c r="J13" s="29"/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29"/>
      <c r="G14" s="29"/>
      <c r="H14" s="30"/>
      <c r="I14" s="30"/>
      <c r="J14" s="29"/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29"/>
      <c r="G15" s="29"/>
      <c r="H15" s="30"/>
      <c r="I15" s="30"/>
      <c r="J15" s="29"/>
    </row>
    <row r="16" customFormat="false" ht="15" hidden="false" customHeight="false" outlineLevel="0" collapsed="false">
      <c r="A16" s="29"/>
      <c r="B16" s="29"/>
      <c r="C16" s="29"/>
      <c r="D16" s="29"/>
      <c r="E16" s="29"/>
      <c r="F16" s="29"/>
      <c r="G16" s="29"/>
      <c r="H16" s="30"/>
      <c r="I16" s="30"/>
      <c r="J16" s="29"/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9"/>
      <c r="G17" s="29"/>
      <c r="H17" s="30"/>
      <c r="I17" s="30"/>
      <c r="J17" s="29"/>
    </row>
    <row r="18" customFormat="false" ht="15" hidden="false" customHeight="false" outlineLevel="0" collapsed="false">
      <c r="A18" s="29"/>
      <c r="B18" s="29"/>
      <c r="C18" s="29"/>
      <c r="D18" s="29"/>
      <c r="E18" s="29"/>
      <c r="F18" s="29"/>
      <c r="G18" s="29"/>
      <c r="H18" s="30"/>
      <c r="I18" s="30"/>
      <c r="J18" s="29"/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29"/>
      <c r="G19" s="29"/>
      <c r="H19" s="30"/>
      <c r="I19" s="30"/>
      <c r="J19" s="29"/>
    </row>
    <row r="20" customFormat="false" ht="15" hidden="false" customHeight="false" outlineLevel="0" collapsed="false">
      <c r="A20" s="29"/>
      <c r="B20" s="29"/>
      <c r="C20" s="29"/>
      <c r="D20" s="29"/>
      <c r="E20" s="29"/>
      <c r="F20" s="29"/>
      <c r="G20" s="29"/>
      <c r="H20" s="30"/>
      <c r="I20" s="30"/>
      <c r="J20" s="29"/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29"/>
      <c r="G21" s="29"/>
      <c r="H21" s="30"/>
      <c r="I21" s="30"/>
      <c r="J21" s="29"/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29"/>
      <c r="G22" s="29"/>
      <c r="H22" s="30"/>
      <c r="I22" s="30"/>
      <c r="J22" s="29"/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29"/>
      <c r="G23" s="29"/>
      <c r="H23" s="30"/>
      <c r="I23" s="30"/>
      <c r="J23" s="29"/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29"/>
      <c r="G24" s="29"/>
      <c r="H24" s="30"/>
      <c r="I24" s="30"/>
      <c r="J24" s="29"/>
    </row>
    <row r="25" customFormat="false" ht="15" hidden="false" customHeight="false" outlineLevel="0" collapsed="false">
      <c r="A25" s="29"/>
      <c r="B25" s="29"/>
      <c r="C25" s="29"/>
      <c r="D25" s="29"/>
      <c r="E25" s="29"/>
      <c r="F25" s="29"/>
      <c r="G25" s="29"/>
      <c r="H25" s="30"/>
      <c r="I25" s="30"/>
      <c r="J25" s="29"/>
    </row>
    <row r="26" customFormat="false" ht="15" hidden="false" customHeight="false" outlineLevel="0" collapsed="false">
      <c r="A26" s="29"/>
      <c r="B26" s="29"/>
      <c r="C26" s="29"/>
      <c r="D26" s="29"/>
      <c r="E26" s="29"/>
      <c r="F26" s="29"/>
      <c r="G26" s="29"/>
      <c r="H26" s="30"/>
      <c r="I26" s="30"/>
      <c r="J26" s="29"/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29"/>
      <c r="G27" s="29"/>
      <c r="H27" s="30"/>
      <c r="I27" s="30"/>
      <c r="J27" s="29"/>
    </row>
    <row r="28" customFormat="false" ht="15" hidden="false" customHeight="false" outlineLevel="0" collapsed="false">
      <c r="A28" s="29"/>
      <c r="B28" s="29"/>
      <c r="C28" s="29"/>
      <c r="D28" s="29"/>
      <c r="E28" s="29"/>
      <c r="F28" s="29"/>
      <c r="G28" s="29"/>
      <c r="H28" s="30"/>
      <c r="I28" s="30"/>
      <c r="J28" s="29"/>
    </row>
    <row r="29" customFormat="false" ht="15" hidden="false" customHeight="false" outlineLevel="0" collapsed="false">
      <c r="A29" s="29"/>
      <c r="B29" s="29"/>
      <c r="C29" s="29"/>
      <c r="D29" s="29"/>
      <c r="E29" s="29"/>
      <c r="F29" s="29"/>
      <c r="G29" s="29"/>
      <c r="H29" s="30"/>
      <c r="I29" s="30"/>
      <c r="J29" s="29"/>
    </row>
    <row r="30" customFormat="false" ht="15" hidden="false" customHeight="false" outlineLevel="0" collapsed="false">
      <c r="A30" s="29"/>
      <c r="B30" s="29"/>
      <c r="C30" s="29"/>
      <c r="D30" s="29"/>
      <c r="E30" s="29"/>
      <c r="F30" s="29"/>
      <c r="G30" s="29"/>
      <c r="H30" s="30"/>
      <c r="I30" s="30"/>
      <c r="J30" s="29"/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29"/>
      <c r="G31" s="29"/>
      <c r="H31" s="30"/>
      <c r="I31" s="30"/>
      <c r="J31" s="29"/>
    </row>
    <row r="32" customFormat="false" ht="15" hidden="false" customHeight="false" outlineLevel="0" collapsed="false">
      <c r="A32" s="29"/>
      <c r="B32" s="29"/>
      <c r="C32" s="29"/>
      <c r="D32" s="29"/>
      <c r="E32" s="29"/>
      <c r="F32" s="29"/>
      <c r="G32" s="29"/>
      <c r="H32" s="30"/>
      <c r="I32" s="30"/>
      <c r="J32" s="29"/>
    </row>
    <row r="33" customFormat="false" ht="15" hidden="false" customHeight="false" outlineLevel="0" collapsed="false">
      <c r="A33" s="29"/>
      <c r="B33" s="29"/>
      <c r="C33" s="29"/>
      <c r="D33" s="29"/>
      <c r="E33" s="29"/>
      <c r="F33" s="29"/>
      <c r="G33" s="29"/>
      <c r="H33" s="30"/>
      <c r="I33" s="30"/>
      <c r="J33" s="29"/>
    </row>
    <row r="34" customFormat="false" ht="15" hidden="false" customHeight="false" outlineLevel="0" collapsed="false">
      <c r="A34" s="29"/>
      <c r="B34" s="29"/>
      <c r="C34" s="29"/>
      <c r="D34" s="29"/>
      <c r="E34" s="29"/>
      <c r="F34" s="29"/>
      <c r="G34" s="29"/>
      <c r="H34" s="30"/>
      <c r="I34" s="30"/>
      <c r="J34" s="29"/>
    </row>
    <row r="35" customFormat="false" ht="15" hidden="false" customHeight="false" outlineLevel="0" collapsed="false">
      <c r="A35" s="29"/>
      <c r="B35" s="29"/>
      <c r="C35" s="29"/>
      <c r="D35" s="29"/>
      <c r="E35" s="29"/>
      <c r="F35" s="29"/>
      <c r="G35" s="29"/>
      <c r="H35" s="30"/>
      <c r="I35" s="30"/>
      <c r="J35" s="29"/>
    </row>
    <row r="36" customFormat="false" ht="15" hidden="false" customHeight="false" outlineLevel="0" collapsed="false">
      <c r="A36" s="29"/>
      <c r="B36" s="29"/>
      <c r="C36" s="29"/>
      <c r="D36" s="29"/>
      <c r="E36" s="29"/>
      <c r="F36" s="29"/>
      <c r="G36" s="29"/>
      <c r="H36" s="30"/>
      <c r="I36" s="30"/>
      <c r="J36" s="29"/>
    </row>
    <row r="37" customFormat="false" ht="15" hidden="false" customHeight="false" outlineLevel="0" collapsed="false">
      <c r="A37" s="29"/>
      <c r="B37" s="29"/>
      <c r="C37" s="29"/>
      <c r="D37" s="29"/>
      <c r="E37" s="29"/>
      <c r="F37" s="29"/>
      <c r="G37" s="29"/>
      <c r="H37" s="30"/>
      <c r="I37" s="30"/>
      <c r="J37" s="29"/>
    </row>
    <row r="38" customFormat="false" ht="15" hidden="false" customHeight="false" outlineLevel="0" collapsed="false">
      <c r="A38" s="29"/>
      <c r="B38" s="29"/>
      <c r="C38" s="29"/>
      <c r="D38" s="29"/>
      <c r="E38" s="29"/>
      <c r="F38" s="29"/>
      <c r="G38" s="29"/>
      <c r="H38" s="30"/>
      <c r="I38" s="30"/>
      <c r="J38" s="29"/>
    </row>
    <row r="39" customFormat="false" ht="15" hidden="false" customHeight="false" outlineLevel="0" collapsed="false">
      <c r="A39" s="29"/>
      <c r="B39" s="29"/>
      <c r="C39" s="29"/>
      <c r="D39" s="29"/>
      <c r="E39" s="29"/>
      <c r="F39" s="29"/>
      <c r="G39" s="29"/>
      <c r="H39" s="30"/>
      <c r="I39" s="30"/>
      <c r="J39" s="29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D4:D503" type="list">
      <formula1>"Meta-Retargeting,Meta-Prospecting,Google Search,Cold Email,Reactivation,Referral,Other"</formula1>
      <formula2>0</formula2>
    </dataValidation>
    <dataValidation allowBlank="true" errorStyle="stop" operator="between" showDropDown="false" showErrorMessage="false" showInputMessage="false" sqref="G4:G503" type="list">
      <formula1>"New,Contacted,Quoted,Won,Lost"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72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9" t="s">
        <v>73</v>
      </c>
      <c r="B3" s="9" t="s">
        <v>74</v>
      </c>
      <c r="C3" s="9" t="s">
        <v>75</v>
      </c>
      <c r="D3" s="9" t="s">
        <v>76</v>
      </c>
      <c r="E3" s="9" t="s">
        <v>77</v>
      </c>
      <c r="F3" s="9" t="s">
        <v>78</v>
      </c>
    </row>
    <row r="4" customFormat="false" ht="15" hidden="false" customHeight="false" outlineLevel="0" collapsed="false">
      <c r="A4" s="31" t="s">
        <v>79</v>
      </c>
      <c r="B4" s="32" t="n">
        <v>400</v>
      </c>
      <c r="C4" s="32" t="n">
        <v>200</v>
      </c>
      <c r="D4" s="32" t="n">
        <v>150</v>
      </c>
      <c r="E4" s="32" t="n">
        <v>100</v>
      </c>
      <c r="F4" s="33" t="n">
        <f aca="false">SUM(B4:E4)</f>
        <v>850</v>
      </c>
    </row>
    <row r="5" customFormat="false" ht="15" hidden="false" customHeight="false" outlineLevel="0" collapsed="false">
      <c r="A5" s="31" t="s">
        <v>80</v>
      </c>
      <c r="B5" s="32"/>
      <c r="C5" s="32"/>
      <c r="D5" s="32"/>
      <c r="E5" s="32"/>
      <c r="F5" s="33" t="n">
        <f aca="false">SUM(B5:E5)</f>
        <v>0</v>
      </c>
    </row>
    <row r="6" customFormat="false" ht="15" hidden="false" customHeight="false" outlineLevel="0" collapsed="false">
      <c r="A6" s="31" t="s">
        <v>81</v>
      </c>
      <c r="B6" s="32"/>
      <c r="C6" s="32"/>
      <c r="D6" s="32"/>
      <c r="E6" s="32"/>
      <c r="F6" s="33" t="n">
        <f aca="false">SUM(B6:E6)</f>
        <v>0</v>
      </c>
    </row>
    <row r="7" customFormat="false" ht="15" hidden="false" customHeight="false" outlineLevel="0" collapsed="false">
      <c r="A7" s="31" t="s">
        <v>82</v>
      </c>
      <c r="B7" s="32"/>
      <c r="C7" s="32"/>
      <c r="D7" s="32"/>
      <c r="E7" s="32"/>
      <c r="F7" s="33" t="n">
        <f aca="false">SUM(B7:E7)</f>
        <v>0</v>
      </c>
    </row>
    <row r="8" customFormat="false" ht="15" hidden="false" customHeight="false" outlineLevel="0" collapsed="false">
      <c r="A8" s="31" t="s">
        <v>83</v>
      </c>
      <c r="B8" s="32"/>
      <c r="C8" s="32"/>
      <c r="D8" s="32"/>
      <c r="E8" s="32"/>
      <c r="F8" s="33" t="n">
        <f aca="false">SUM(B8:E8)</f>
        <v>0</v>
      </c>
    </row>
    <row r="9" customFormat="false" ht="15" hidden="false" customHeight="false" outlineLevel="0" collapsed="false">
      <c r="A9" s="31" t="s">
        <v>84</v>
      </c>
      <c r="B9" s="32"/>
      <c r="C9" s="32"/>
      <c r="D9" s="32"/>
      <c r="E9" s="32"/>
      <c r="F9" s="33" t="n">
        <f aca="false">SUM(B9:E9)</f>
        <v>0</v>
      </c>
    </row>
    <row r="10" customFormat="false" ht="15" hidden="false" customHeight="false" outlineLevel="0" collapsed="false">
      <c r="A10" s="21" t="s">
        <v>31</v>
      </c>
      <c r="B10" s="22" t="n">
        <f aca="false">SUM(B4:B9)</f>
        <v>400</v>
      </c>
      <c r="C10" s="22" t="n">
        <f aca="false">SUM(C4:C9)</f>
        <v>200</v>
      </c>
      <c r="D10" s="22" t="n">
        <f aca="false">SUM(D4:D9)</f>
        <v>150</v>
      </c>
      <c r="E10" s="22" t="n">
        <f aca="false">SUM(E4:E9)</f>
        <v>100</v>
      </c>
      <c r="F10" s="22" t="n">
        <f aca="false">SUM(F4:F9)</f>
        <v>850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2026-06-16T05:54:43Z</dcterms:created>
  <dc:creator>openpyxl</dc:creator>
  <dc:description/>
  <dc:language>en-US</dc:language>
  <cp:lastModifiedBy/>
  <dcterms:modified xsi:type="dcterms:W3CDTF">2026-06-16T05:54:43Z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