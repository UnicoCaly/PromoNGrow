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nth 1 Calendar" sheetId="1" state="visible" r:id="rId3"/>
    <sheet name="Carousel Slide Copy" sheetId="2" state="visible" r:id="rId4"/>
    <sheet name="Hashtag Sets" sheetId="3" state="visible" r:id="rId5"/>
    <sheet name="Pillar Targe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<sst xmlns="http://schemas.openxmlformats.org/spreadsheetml/2006/main" count="404" uniqueCount="299">
  <si>
    <t xml:space="preserve">#</t>
  </si>
  <si>
    <t xml:space="preserve">Date</t>
  </si>
  <si>
    <t xml:space="preserve">Day</t>
  </si>
  <si>
    <t xml:space="preserve">Week</t>
  </si>
  <si>
    <t xml:space="preserve">Pillar</t>
  </si>
  <si>
    <t xml:space="preserve">Format</t>
  </si>
  <si>
    <t xml:space="preserve">Framework / Angle</t>
  </si>
  <si>
    <t xml:space="preserve">Hook (Slide 1 / Caption opener)</t>
  </si>
  <si>
    <t xml:space="preserve">Full Caption</t>
  </si>
  <si>
    <t xml:space="preserve">Hashtags</t>
  </si>
  <si>
    <t xml:space="preserve">Canva Template</t>
  </si>
  <si>
    <t xml:space="preserve">Asset Notes</t>
  </si>
  <si>
    <t xml:space="preserve">Status</t>
  </si>
  <si>
    <t xml:space="preserve">2026-04-20</t>
  </si>
  <si>
    <t xml:space="preserve">Mon</t>
  </si>
  <si>
    <t xml:space="preserve">W1 (A)</t>
  </si>
  <si>
    <t xml:space="preserve">Education</t>
  </si>
  <si>
    <t xml:space="preserve">Carousel (10 slides)</t>
  </si>
  <si>
    <t xml:space="preserve">Framework #1 — 10x10 Booth Domination Playbook</t>
  </si>
  <si>
    <t xml:space="preserve">Your 10x10 booth is a 100 sq ft billboard. Most marketers waste 80% of it.</t>
  </si>
  <si>
    <t xml:space="preserve">Your 10x10 booth is a 100 sq ft billboard. Most marketers waste 80% of it.
After 20+ years producing trade show setups, we see the same pattern: brands spend $3K on a booth, then under-use the three zones that actually convert — canopy, back wall, table + floor.
Swipe → the full 10x10 Booth Domination Playbook: what each zone is for, what to print, and the 48-hour pre-show checklist we send every client.
Save this for your next show.
Need all three layers produced in 5 business days? promongrow.com · (844) 883-3308</t>
  </si>
  <si>
    <t xml:space="preserve">#PromoAndGrow #TradeShowBooth #BoothDesign #EventMarketing #CustomTent #BrandPresence #MadeInUSA #MarketingManager</t>
  </si>
  <si>
    <t xml:space="preserve">Framework Carousel Master</t>
  </si>
  <si>
    <t xml:space="preserve">Build all 10 slides in Canva. Use photos of a completed 10x10 client setup for Slides 3–7.</t>
  </si>
  <si>
    <t xml:space="preserve">Draft</t>
  </si>
  <si>
    <t xml:space="preserve">2026-04-21</t>
  </si>
  <si>
    <t xml:space="preserve">Tue</t>
  </si>
  <si>
    <t xml:space="preserve">Product</t>
  </si>
  <si>
    <t xml:space="preserve">Single</t>
  </si>
  <si>
    <t xml:space="preserve">Product hero — 10x10 custom tent</t>
  </si>
  <si>
    <t xml:space="preserve">10x10 custom canopy. Full-color print. Delivered in 5 business days.</t>
  </si>
  <si>
    <t xml:space="preserve">10x10 custom canopy. Full-color print. Delivered in 5 business days.
Heavy-duty frame, free artwork proof before production, and a fabric that actually matches your brand deck.
4.8★ on Google. 20+ years in the print room.
Spec your tent → promongrow.com · (844) 883-3308</t>
  </si>
  <si>
    <t xml:space="preserve">#PromoAndGrow #CustomTent #EventDisplays #10x10Booth #MadeInUSA #CustomPrinting #TradeShowBooth #EventMarketing</t>
  </si>
  <si>
    <t xml:space="preserve">Product Hero Single</t>
  </si>
  <si>
    <t xml:space="preserve">Best 10x10 hero shot from production / client gallery. Center-weight the composition.</t>
  </si>
  <si>
    <t xml:space="preserve">2026-04-22</t>
  </si>
  <si>
    <t xml:space="preserve">Wed</t>
  </si>
  <si>
    <t xml:space="preserve">Reel (15–30s)</t>
  </si>
  <si>
    <t xml:space="preserve">Setup time-lapse — tent up in under 10 minutes</t>
  </si>
  <si>
    <t xml:space="preserve">Tent up in under 10 minutes. No crew needed.</t>
  </si>
  <si>
    <t xml:space="preserve">Your booth shouldn't eat the morning. Two people, ten minutes, and you're printed, staked, and open for business.
Built for booth operators who'd rather be selling than assembling.
5-day turnaround on every canopy. Free proof before a single inch goes to print.
Spec yours → promongrow.com</t>
  </si>
  <si>
    <t xml:space="preserve">#PromoAndGrow #TentSetup #EventLife #TradeShowBooth #CustomTent #FieldMarketing #MadeInUSA</t>
  </si>
  <si>
    <t xml:space="preserve">Product Reel template</t>
  </si>
  <si>
    <t xml:space="preserve">Film a 10x10 setup from empty frame → fully branded. Speed to 15–20s. Add DM Sans lower-third.</t>
  </si>
  <si>
    <t xml:space="preserve">2026-04-23</t>
  </si>
  <si>
    <t xml:space="preserve">Thu</t>
  </si>
  <si>
    <t xml:space="preserve">Client</t>
  </si>
  <si>
    <t xml:space="preserve">Single (Review)</t>
  </si>
  <si>
    <t xml:space="preserve">Review post A — 5★ Judge.me review with client photo</t>
  </si>
  <si>
    <t xml:space="preserve">★★★★★ "The booth looked better than our competitor who paid 3x more."</t>
  </si>
  <si>
    <t xml:space="preserve">★★★★★ from [Client Name, Company] — pulled from Judge.me this week.
They ordered a 10x10 custom canopy + matching table throw for [Event]. Files went in Monday, proof approved Tuesday, booth on the truck Friday.
This is why we proof every order before production — so what you approve is exactly what lands at your door.
Leave us a review on your next order → link in bio.
promongrow.com · (844) 883-3308</t>
  </si>
  <si>
    <t xml:space="preserve">#PromoAndGrow #ClientLove #5StarReview #TradeShowBooth #CustomTent #EventBranding #MadeInUSA</t>
  </si>
  <si>
    <t xml:space="preserve">Review Single (Template A)</t>
  </si>
  <si>
    <t xml:space="preserve">Pull from Review Queue — swap in real quote, name, product, event. Client photo on right, stars + quote on left.</t>
  </si>
  <si>
    <t xml:space="preserve">2026-04-24</t>
  </si>
  <si>
    <t xml:space="preserve">Fri</t>
  </si>
  <si>
    <t xml:space="preserve">Carousel (9 slides)</t>
  </si>
  <si>
    <t xml:space="preserve">Framework #4 — Tent Size Selector (5x5 / 10x10 / 15x10 / 20x10)</t>
  </si>
  <si>
    <t xml:space="preserve">Picking the wrong tent size costs more than picking the right one.</t>
  </si>
  <si>
    <t xml:space="preserve">Picking the wrong tent size costs more than picking the right one.
We've spec'd tents for 20 years. Here's the cheat sheet we give every first-time marketing manager before they click 'add to cart.'
Swipe → the four standard sizes, what each one is for, and the 'team + traffic + table count' formula we use to choose.
Unsure? Send us the event and we'll spec it → (844) 883-3308</t>
  </si>
  <si>
    <t xml:space="preserve">#PromoAndGrow #TentSize #EventPlanning #CustomTent #TradeShowBooth #FieldMarketing #PopUpShop #MarketingManager</t>
  </si>
  <si>
    <t xml:space="preserve">Buyer Selector Carousel</t>
  </si>
  <si>
    <t xml:space="preserve">9 slides: hook, 5x5, 10x10, 15x10, 20x10, formula, 3Qs, wind note, CTA.</t>
  </si>
  <si>
    <t xml:space="preserve">2026-04-27</t>
  </si>
  <si>
    <t xml:space="preserve">W2 (B)</t>
  </si>
  <si>
    <t xml:space="preserve">Framework #3 — Pre-Show / Show-Day / Post-Show Checklist</t>
  </si>
  <si>
    <t xml:space="preserve">Trade show ROI is won two weeks before the show.</t>
  </si>
  <si>
    <t xml:space="preserve">Trade show ROI is won two weeks before the show.
Most booth failures aren't about the booth. They're about a missed file deadline, a forgotten shipping label, or a lead list no one touched until Friday.
Swipe → the exact Pre-Show / Show-Day / Post-Show checklist we run through with every client before we hit 'print.'
Save this. Then send it to whoever's running your next event.
Need replacement fabric or a full new kit in 5 days? promongrow.com</t>
  </si>
  <si>
    <t xml:space="preserve">#PromoAndGrow #TradeShowTips #EventPlanning #MarketingOps #CustomTent #EventMarketing #BoothChecklist</t>
  </si>
  <si>
    <t xml:space="preserve">Trade Show Playbook Carousel</t>
  </si>
  <si>
    <t xml:space="preserve">9 slides, numbered timeline format. Use a production photo on Slide 8.</t>
  </si>
  <si>
    <t xml:space="preserve">2026-04-28</t>
  </si>
  <si>
    <t xml:space="preserve">Review post B — 5★ client testimonial</t>
  </si>
  <si>
    <t xml:space="preserve">★★★★★ "5 days, no drama. Exactly what was on the proof."</t>
  </si>
  <si>
    <t xml:space="preserve">★★★★★ review from [Client] who ordered a custom backdrop + table throw for a [Event] activation.
The brief: 'It has to match our brand deck exactly.' The delivery: proof approved Day 2, booth on the truck Day 5.
That's what happens when print production is run by people, not a dropshipping plugin.
Ready to order your next setup? → promongrow.com · (844) 883-3308</t>
  </si>
  <si>
    <t xml:space="preserve">#PromoAndGrow #ClientSpotlight #5StarReview #CustomBackdrop #TradeShowBooth #MadeInUSA #EventBranding</t>
  </si>
  <si>
    <t xml:space="preserve">Pull from Review Queue — use client's own event photo if they submitted one via Judge.me.</t>
  </si>
  <si>
    <t xml:space="preserve">2026-04-29</t>
  </si>
  <si>
    <t xml:space="preserve">Reel (20–40s)</t>
  </si>
  <si>
    <t xml:space="preserve">Quick-win Reel — 3 file prep mistakes (teaser for Framework #5)</t>
  </si>
  <si>
    <t xml:space="preserve">3 print-ready file mistakes we catch every single week.</t>
  </si>
  <si>
    <t xml:space="preserve">3 file mistakes we catch every single week. Fix these before you upload and your print will pop the way you designed it.
1. RGB instead of CMYK
2. 72 DPI artwork on a 10-foot banner
3. No bleed
Full 8-slide guide on our feed (pinned). Free Canva template in our bio.
promongrow.com · (844) 883-3308</t>
  </si>
  <si>
    <t xml:space="preserve">#PromoAndGrow #FilePrep #DesignTips #CanvaTips #CustomPrinting #MarketingManager #EventMarketing</t>
  </si>
  <si>
    <t xml:space="preserve">Education Reel cover</t>
  </si>
  <si>
    <t xml:space="preserve">Text-on-screen Reel. 3 quick swipes, production-floor B-roll underneath. Keep under 40s.</t>
  </si>
  <si>
    <t xml:space="preserve">2026-04-30</t>
  </si>
  <si>
    <t xml:space="preserve">Product detail — Custom backdrop (tension fabric)</t>
  </si>
  <si>
    <t xml:space="preserve">Tension-fabric backdrop. Wrinkle-free. Brand-accurate. 5-day turn.</t>
  </si>
  <si>
    <t xml:space="preserve">A backdrop is the camera moment of your booth. It's what your booth looks like in every photo, every LinkedIn post, every recap deck.
Full-color dye-sub print on tension fabric — wrinkle-free on day one, packable at the end of the show.
Free artwork proof before production. 5-business-day delivery, nationwide.
Shop backdrops → promongrow.com</t>
  </si>
  <si>
    <t xml:space="preserve">#PromoAndGrow #CustomBackdrop #TensionFabric #EventDisplays #TradeShowBooth #BrandPresence #MadeInUSA</t>
  </si>
  <si>
    <t xml:space="preserve">Product Detail Carousel</t>
  </si>
  <si>
    <t xml:space="preserve">Use 4 photos: hero backdrop on-site, fabric close-up, packed-down size, booth-in-context.</t>
  </si>
  <si>
    <t xml:space="preserve">2026-05-01</t>
  </si>
  <si>
    <t xml:space="preserve">Promo</t>
  </si>
  <si>
    <t xml:space="preserve">Single (BTS)</t>
  </si>
  <si>
    <t xml:space="preserve">Behind-the-scenes — production floor + trust signals</t>
  </si>
  <si>
    <t xml:space="preserve">This is where your booth gets made. Lynwood, CA.</t>
  </si>
  <si>
    <t xml:space="preserve">This is where your booth gets made. Not dropshipped. Not outsourced.
20+ years of production. 4.8★ on Google. Made in the USA. Free artwork proof on every order.
Event season is here. If your booth needs a refresh or a replacement, we're 5 business days from your door.
promongrow.com · (844) 883-3308</t>
  </si>
  <si>
    <t xml:space="preserve">#PromoAndGrow #MadeInUSA #BehindTheScenes #PrintProduction #EventSeason #TradeShowBooth #CustomPrinting</t>
  </si>
  <si>
    <t xml:space="preserve">Trust Stat Single</t>
  </si>
  <si>
    <t xml:space="preserve">Photo of your Lynwood production floor mid-job. Warm, honest — not staged.</t>
  </si>
  <si>
    <t xml:space="preserve">2026-05-04</t>
  </si>
  <si>
    <t xml:space="preserve">W3 (A)</t>
  </si>
  <si>
    <t xml:space="preserve">Framework #2 — Brand Presence Stack</t>
  </si>
  <si>
    <t xml:space="preserve">Event ROI isn't about the booth. It's about the Brand Presence Stack.</t>
  </si>
  <si>
    <t xml:space="preserve">Event ROI isn't about the booth. It's about the Brand Presence Stack.
Four layers — canopy (visibility), backdrop (on-camera), floor (conversion), wearables (trust). Miss one and you're leaking leads at the door.
Swipe → the full stack, a scorecard you can use on your own next event, and a client case that doubled their lead count after upgrading.
Audit your stack. We'll produce the missing layers in 5 business days.
promongrow.com · (844) 883-3308</t>
  </si>
  <si>
    <t xml:space="preserve">#PromoAndGrow #BrandPresence #EventMarketing #TradeShowBooth #MarketingFramework #FieldMarketing #EventROI</t>
  </si>
  <si>
    <t xml:space="preserve">Use a single strong client setup across Slides 4–7 to illustrate all four layers.</t>
  </si>
  <si>
    <t xml:space="preserve">2026-05-05</t>
  </si>
  <si>
    <t xml:space="preserve">Product hero — custom backdrop in live event context</t>
  </si>
  <si>
    <t xml:space="preserve">When the photographer zooms in, your backdrop better look sharp.</t>
  </si>
  <si>
    <t xml:space="preserve">When the photographer zooms in, your backdrop better look sharp.
Full-color tension-fabric backdrops, printed edge-to-edge, color-matched to your brand guide.
Free artwork proof. 5-day turnaround. 20+ years of print behind it.
Shop → promongrow.com</t>
  </si>
  <si>
    <t xml:space="preserve">#PromoAndGrow #CustomBackdrop #EventPhotography #BrandPresence #TradeShowBooth #MadeInUSA #EventBranding</t>
  </si>
  <si>
    <t xml:space="preserve">Hero backdrop photo with event attendees in foreground (permission required).</t>
  </si>
  <si>
    <t xml:space="preserve">2026-05-06</t>
  </si>
  <si>
    <t xml:space="preserve">Client setup Reel — full booth reveal</t>
  </si>
  <si>
    <t xml:space="preserve">Empty venue at 7 AM. Packed booth by 9.</t>
  </si>
  <si>
    <t xml:space="preserve">Empty venue at 7 AM. Packed booth by 9. This is [Client] at [Event].
Full setup: 10x10 canopy, tension-fabric backdrop, branded table throw, retractable banners. Produced here, delivered in 5 days, running all weekend.
Your next show could look like this. promongrow.com · (844) 883-3308</t>
  </si>
  <si>
    <t xml:space="preserve">#PromoAndGrow #ClientSpotlight #BoothSetup #TradeShowBooth #EventMarketing #CustomDisplays #MadeInUSA</t>
  </si>
  <si>
    <t xml:space="preserve">Time-lapse or cut Reel from a real client install (with their permission). Tag their handle.</t>
  </si>
  <si>
    <t xml:space="preserve">2026-05-07</t>
  </si>
  <si>
    <t xml:space="preserve">Review post C — 5★ with client photo</t>
  </si>
  <si>
    <t xml:space="preserve">★★★★★ "Got the proof in a day. Got the booth in a week. Easiest print order we've ever placed."</t>
  </si>
  <si>
    <t xml:space="preserve">★★★★★ from [Client] who needed a full booth turned around before [Event].
Proof approved Day 1. Booth shipped Day 5. No revision emails, no surprise charges.
We do this for marketing teams every week. The system works because the system is built for marketing teams.
promongrow.com · (844) 883-3308</t>
  </si>
  <si>
    <t xml:space="preserve">#PromoAndGrow #5StarReview #ClientResults #MarketingTeams #TradeShowBooth #CustomPrinting #MadeInUSA</t>
  </si>
  <si>
    <t xml:space="preserve">Review Carousel (Template B)</t>
  </si>
  <si>
    <t xml:space="preserve">3-slide carousel: stars+quote, client event photo, CTA slide. Pull from Review Queue.</t>
  </si>
  <si>
    <t xml:space="preserve">2026-05-08</t>
  </si>
  <si>
    <t xml:space="preserve">Framework #6 — Wind Rating Explained</t>
  </si>
  <si>
    <t xml:space="preserve">One gust is the difference between a photo op and a lawsuit.</t>
  </si>
  <si>
    <t xml:space="preserve">One gust is the difference between a photo op and a lawsuit.
Wind ratings aren't marketing fluff — they're the physics of keeping a 10x10 on the ground at an outdoor activation. We've seen economy frames fold at 20 mph. We've also seen a heavy-duty frame hold in 40.
Swipe → what wind ratings mean in plain English, a 3-question decision tree to pick your frame, and the anchor math for weighting each leg.
Match your tent to your venue. Talk to our team → (844) 883-3308</t>
  </si>
  <si>
    <t xml:space="preserve">#PromoAndGrow #OutdoorEvent #TentSafety #EventPlanning #CustomTent #FieldMarketing #EventOps</t>
  </si>
  <si>
    <t xml:space="preserve">9 slides. Use a photo of a production-floor frame close-up on Slide 2.</t>
  </si>
  <si>
    <t xml:space="preserve">2026-05-11</t>
  </si>
  <si>
    <t xml:space="preserve">W4 (B)</t>
  </si>
  <si>
    <t xml:space="preserve">Framework #5 — Print-Ready File Prep (quick-win)</t>
  </si>
  <si>
    <t xml:space="preserve">5 file mistakes that kill print quality (and how we catch them).</t>
  </si>
  <si>
    <t xml:space="preserve">5 file mistakes that kill print quality (and how we catch them before you hit 'submit').
RGB vs CMYK. Resolution on a 10-ft banner. Bleed. Outlined fonts. Web-pulled logos. Miss one and your booth looks fuzzy from six feet away.
Swipe → the full 5-mistake breakdown plus the free Canva template that avoids all of them.
Download the template in our bio. Then send it to whoever designs your files.
promongrow.com · (844) 883-3308</t>
  </si>
  <si>
    <t xml:space="preserve">#PromoAndGrow #PrintDesign #FilePrep #CanvaTips #MarketingOps #CustomPrinting #EventBranding</t>
  </si>
  <si>
    <t xml:space="preserve">Quick-Win Tip Carousel</t>
  </si>
  <si>
    <t xml:space="preserve">9 slides. Consider embedding small sample images showing each mistake (blurry logo, RGB preview, etc.).</t>
  </si>
  <si>
    <t xml:space="preserve">2026-05-12</t>
  </si>
  <si>
    <t xml:space="preserve">Review post D — 5★ repeat-buyer testimonial</t>
  </si>
  <si>
    <t xml:space="preserve">★★★★★ "Third order with P&amp;G. First time in three shows we haven't had a print issue."</t>
  </si>
  <si>
    <t xml:space="preserve">★★★★★ from a repeat buyer: third order with us, third show with zero print issues.
Repeat customers are the only score that matters in print. They've seen what shipping is supposed to feel like when it's done right.
Book your next setup → promongrow.com · (844) 883-3308</t>
  </si>
  <si>
    <t xml:space="preserve">#PromoAndGrow #RepeatCustomer #5StarReview #TrustedPartner #TradeShowBooth #MadeInUSA #EventMarketing</t>
  </si>
  <si>
    <t xml:space="preserve">Pull from Review Queue. Emphasize 'repeat buyer' line in graphic overlay.</t>
  </si>
  <si>
    <t xml:space="preserve">2026-05-13</t>
  </si>
  <si>
    <t xml:space="preserve">Reel (20–30s)</t>
  </si>
  <si>
    <t xml:space="preserve">Packing a big order — BTS of a bundle shipping out</t>
  </si>
  <si>
    <t xml:space="preserve">What $3K of booth looks like on the way out the door.</t>
  </si>
  <si>
    <t xml:space="preserve">What $3K of booth looks like on the way out the door.
10x10 canopy. Tension-fabric backdrop. Two retractable banners. Branded table throw. Full kit, proof-approved, boxed in Lynwood, shipping 5-day nationwide.
This is your booth three days before it lands at your venue.
promongrow.com</t>
  </si>
  <si>
    <t xml:space="preserve">#PromoAndGrow #BehindTheScenes #ShipDay #BoothKit #CustomTent #MadeInUSA #EventProduction</t>
  </si>
  <si>
    <t xml:space="preserve">Film one real outbound order from pack → loaded on truck. Label boxes for visual clarity.</t>
  </si>
  <si>
    <t xml:space="preserve">2026-05-14</t>
  </si>
  <si>
    <t xml:space="preserve">Product detail — full event bundle (save 15%)</t>
  </si>
  <si>
    <t xml:space="preserve">Canopy + backdrop + table throw + banners. One order. 5 days.</t>
  </si>
  <si>
    <t xml:space="preserve">Canopy + backdrop + table throw + banners. One order. One proof. 5 business days.
Event bundles exist because marketing teams shouldn't be managing four vendors for one booth.
15%+ savings vs. ordering each piece on its own. Same free artwork proof. Same Lynwood production floor.
Build your bundle → promongrow.com</t>
  </si>
  <si>
    <t xml:space="preserve">#PromoAndGrow #EventBundle #BoothKit #TradeShowBooth #CustomDisplays #MadeInUSA #MarketingManager</t>
  </si>
  <si>
    <t xml:space="preserve">4-slide carousel: hero bundle shot, piece-by-piece breakdown, pricing benefit, CTA.</t>
  </si>
  <si>
    <t xml:space="preserve">2026-05-15</t>
  </si>
  <si>
    <t xml:space="preserve">Single (Offer)</t>
  </si>
  <si>
    <t xml:space="preserve">Trust stat + offer — 10% off first order / bundle savings reminder</t>
  </si>
  <si>
    <t xml:space="preserve">New to Promo N Grow? 10% off your first order.</t>
  </si>
  <si>
    <t xml:space="preserve">New to Promo N Grow? 10% off your first order — canopy, backdrop, bundle, whatever your booth needs.
4.8★ on Google. 20+ years in production. Made in the USA. Free artwork proof on every order. 5-business-day delivery.
Use code FIRST10 at checkout. Offer good through end of month.
promongrow.com · (844) 883-3308</t>
  </si>
  <si>
    <t xml:space="preserve">#PromoAndGrow #NewCustomer #10PercentOff #CustomTent #TradeShowBooth #MadeInUSA #EventBranding</t>
  </si>
  <si>
    <t xml:space="preserve">Offer Single</t>
  </si>
  <si>
    <t xml:space="preserve">Copper CTA bar with code. Trust-stat row across bottom.</t>
  </si>
  <si>
    <t xml:space="preserve">Framework</t>
  </si>
  <si>
    <t xml:space="preserve">Framework #1 — 10x10 Booth Domination Playbook (Mon Apr 20)</t>
  </si>
  <si>
    <t xml:space="preserve">Slide #</t>
  </si>
  <si>
    <t xml:space="preserve">Slide Type</t>
  </si>
  <si>
    <t xml:space="preserve">Headline / Hook</t>
  </si>
  <si>
    <t xml:space="preserve">Body Copy / Notes</t>
  </si>
  <si>
    <t xml:space="preserve">Hook (Navy bg / Copper accent)</t>
  </si>
  <si>
    <t xml:space="preserve">DM Serif Display, 48pt. Subtext: 'A framework from 20 years on the production floor.'</t>
  </si>
  <si>
    <t xml:space="preserve">Body — setup</t>
  </si>
  <si>
    <t xml:space="preserve">The 3 zones of a 10x10</t>
  </si>
  <si>
    <t xml:space="preserve">Visual: a top-down floorplan divided into Canopy (ceiling), Back Wall, Table + Floor. Copper callouts.</t>
  </si>
  <si>
    <t xml:space="preserve">Body — Zone 1</t>
  </si>
  <si>
    <t xml:space="preserve">Zone 1: The Canopy — your 30-ft brand moment</t>
  </si>
  <si>
    <t xml:space="preserve">Visible from across the hall. Logo + 1 message max. No phone numbers, no QR codes. Example: client canopy photo.</t>
  </si>
  <si>
    <t xml:space="preserve">Body — Zone 2</t>
  </si>
  <si>
    <t xml:space="preserve">Zone 2: The Back Wall — your photo-and-conversion surface</t>
  </si>
  <si>
    <t xml:space="preserve">This is what ends up in their recap deck. Put your value prop + one visual hero here. Tension-fabric backdrop recommended.</t>
  </si>
  <si>
    <t xml:space="preserve">Body — Zone 3</t>
  </si>
  <si>
    <t xml:space="preserve">Zone 3: The Table + Floor — your transaction layer</t>
  </si>
  <si>
    <t xml:space="preserve">Table throw for brand continuity. Floor banner for demo queue direction. Accessories here drive conversation, not signage.</t>
  </si>
  <si>
    <t xml:space="preserve">Body — Example</t>
  </si>
  <si>
    <t xml:space="preserve">Before / After — a real client 10x10</t>
  </si>
  <si>
    <t xml:space="preserve">Use a PNG client example. Before = stock canopy, after = full three-zone buildout. Label the zones.</t>
  </si>
  <si>
    <t xml:space="preserve">Body — Spec cheat</t>
  </si>
  <si>
    <t xml:space="preserve">What to print, per zone</t>
  </si>
  <si>
    <t xml:space="preserve">Table: Canopy (canopy print), Back Wall (8x8 tension fabric), Table (6-ft fitted throw), Floor (retractable banner).</t>
  </si>
  <si>
    <t xml:space="preserve">Payoff</t>
  </si>
  <si>
    <t xml:space="preserve">The 48-hour pre-show checklist</t>
  </si>
  <si>
    <t xml:space="preserve">7-item checklist: files approved, shipping label set, team arrival, setup lead, power access, tape/clips, backup kit.</t>
  </si>
  <si>
    <t xml:space="preserve">CTA (Navy bg)</t>
  </si>
  <si>
    <t xml:space="preserve">We produce all three layers. 5-day delivery.</t>
  </si>
  <si>
    <t xml:space="preserve">Copper button: 'Spec your booth — promongrow.com'. Phone: (844) 883-3308.</t>
  </si>
  <si>
    <t xml:space="preserve">Save nudge (optional)</t>
  </si>
  <si>
    <t xml:space="preserve">Save this for your next show.</t>
  </si>
  <si>
    <t xml:space="preserve">Small type, centered. DM Sans 18pt. Optional slide — drop if IG caps at 10.</t>
  </si>
  <si>
    <t xml:space="preserve">Framework #4 — Tent Size Selector (Fri Apr 24)</t>
  </si>
  <si>
    <t xml:space="preserve">Hook</t>
  </si>
  <si>
    <t xml:space="preserve">Navy bg, Copper accent. Subtext: 'A buyer's guide from the P&amp;G production floor.'</t>
  </si>
  <si>
    <t xml:space="preserve">5x5</t>
  </si>
  <si>
    <t xml:space="preserve">5x5 — the pop-up stand</t>
  </si>
  <si>
    <t xml:space="preserve">Farmers markets, sidewalk activations, solo vendors. 1 staff + 1 table. Easy solo setup.</t>
  </si>
  <si>
    <t xml:space="preserve">10x10</t>
  </si>
  <si>
    <t xml:space="preserve">10x10 — the industry standard</t>
  </si>
  <si>
    <t xml:space="preserve">Trade shows, conferences, most activations. 2 staff + table + back wall. The default.</t>
  </si>
  <si>
    <t xml:space="preserve">15x10</t>
  </si>
  <si>
    <t xml:space="preserve">15x10 — the flagship</t>
  </si>
  <si>
    <t xml:space="preserve">Multi-station activations, product demos. 3–4 staff + 2 tables + branding walls.</t>
  </si>
  <si>
    <t xml:space="preserve">20x10</t>
  </si>
  <si>
    <t xml:space="preserve">20x10 — the brand flex</t>
  </si>
  <si>
    <t xml:space="preserve">Large format, high-traffic corners. 4+ staff + lounge + demo zone. Rarely beginner-territory.</t>
  </si>
  <si>
    <t xml:space="preserve">Body — Formula</t>
  </si>
  <si>
    <t xml:space="preserve">The Team + Traffic + Table Count formula</t>
  </si>
  <si>
    <t xml:space="preserve">Simple: (Staff × 25 sq ft) + (Table × 20 sq ft) + (Traffic buffer × 30 sq ft) = min sq ft. Round up to nearest standard size.</t>
  </si>
  <si>
    <t xml:space="preserve">Body — 3 Questions</t>
  </si>
  <si>
    <t xml:space="preserve">3 questions before you order</t>
  </si>
  <si>
    <t xml:space="preserve">1. How many staff will be in the booth at once? 2. How many tables/demos? 3. What's the foot traffic estimate? Answer → pick size.</t>
  </si>
  <si>
    <t xml:space="preserve">Body — Wind</t>
  </si>
  <si>
    <t xml:space="preserve">Don't forget the wind note</t>
  </si>
  <si>
    <t xml:space="preserve">Outdoor? Match the frame weight to the venue. See our Wind Rating carousel. Indoor? Economy frame is fine.</t>
  </si>
  <si>
    <t xml:space="preserve">CTA</t>
  </si>
  <si>
    <t xml:space="preserve">Unsure? Send us your event. We'll spec it.</t>
  </si>
  <si>
    <t xml:space="preserve">Copper button. Phone: (844) 883-3308. promongrow.com.</t>
  </si>
  <si>
    <t xml:space="preserve">Framework #3 — Pre/Show/Post Checklist (Mon Apr 27)</t>
  </si>
  <si>
    <t xml:space="preserve">Navy bg. Subtitle: 'The pre/day/post checklist we run with every client.'</t>
  </si>
  <si>
    <t xml:space="preserve">Pre-show (14d)</t>
  </si>
  <si>
    <t xml:space="preserve">Day -14: artwork + file prep</t>
  </si>
  <si>
    <t xml:space="preserve">Finalize creative, run CMYK conversion, add bleed, outline fonts. Upload files to PNG.</t>
  </si>
  <si>
    <t xml:space="preserve">Pre-show (7d)</t>
  </si>
  <si>
    <t xml:space="preserve">Day -7: ship + brief</t>
  </si>
  <si>
    <t xml:space="preserve">Confirm PNG delivery date, book hotel/freight, brief booth staff on key messages.</t>
  </si>
  <si>
    <t xml:space="preserve">Show day AM</t>
  </si>
  <si>
    <t xml:space="preserve">Setup sequence: Canopy → Backdrop → Table</t>
  </si>
  <si>
    <t xml:space="preserve">Always in this order — canopy gives you the shape, backdrop anchors the wall, table fills the last 15 min.</t>
  </si>
  <si>
    <t xml:space="preserve">Show day PM</t>
  </si>
  <si>
    <t xml:space="preserve">Crowd timing + refresh moments</t>
  </si>
  <si>
    <t xml:space="preserve">Pre-lunch and end-of-day are peaks. Refresh collateral, restock giveaways, rotate staff every 2 hours.</t>
  </si>
  <si>
    <t xml:space="preserve">Post-show 24h</t>
  </si>
  <si>
    <t xml:space="preserve">Dismantle + label</t>
  </si>
  <si>
    <t xml:space="preserve">Pack in reverse order. Label boxes by component. Photo-inventory what went back in the case.</t>
  </si>
  <si>
    <t xml:space="preserve">Post-show 7d</t>
  </si>
  <si>
    <t xml:space="preserve">Lead follow-up cadence</t>
  </si>
  <si>
    <t xml:space="preserve">Day 1: personalized email. Day 3: case study. Day 7: meeting request. Anything slower and leads cool off.</t>
  </si>
  <si>
    <t xml:space="preserve">Forgotten 3</t>
  </si>
  <si>
    <t xml:space="preserve">The 3 things every checklist forgets</t>
  </si>
  <si>
    <t xml:space="preserve">1. Spare power strip. 2. Microfiber cloth for backdrop. 3. Printed backup of your pitch deck (WiFi dies).</t>
  </si>
  <si>
    <t xml:space="preserve">Need a replacement or upgrade? 5-day delivery.</t>
  </si>
  <si>
    <t xml:space="preserve">Copper button. promongrow.com · (844) 883-3308.</t>
  </si>
  <si>
    <t xml:space="preserve">Set Name</t>
  </si>
  <si>
    <t xml:space="preserve">Use Case</t>
  </si>
  <si>
    <t xml:space="preserve">Brand core (always)</t>
  </si>
  <si>
    <t xml:space="preserve">Every post</t>
  </si>
  <si>
    <t xml:space="preserve">#PromoAndGrow</t>
  </si>
  <si>
    <t xml:space="preserve">Product — Tent</t>
  </si>
  <si>
    <t xml:space="preserve">Any post featuring a tent</t>
  </si>
  <si>
    <t xml:space="preserve">#CustomTent #10x10Booth #EventTent #BrandedTent</t>
  </si>
  <si>
    <t xml:space="preserve">Product — Backdrop</t>
  </si>
  <si>
    <t xml:space="preserve">Backdrop / back wall posts</t>
  </si>
  <si>
    <t xml:space="preserve">#CustomBackdrop #TensionFabric #EventBackdrop</t>
  </si>
  <si>
    <t xml:space="preserve">Product — Bundle</t>
  </si>
  <si>
    <t xml:space="preserve">Full-kit / bundle posts</t>
  </si>
  <si>
    <t xml:space="preserve">#EventBundle #BoothKit #CustomDisplays</t>
  </si>
  <si>
    <t xml:space="preserve">Use case — Trade show</t>
  </si>
  <si>
    <t xml:space="preserve">Trade show + conference</t>
  </si>
  <si>
    <t xml:space="preserve">#TradeShowBooth #TradeShowTips #ConferenceBooth #EventMarketing</t>
  </si>
  <si>
    <t xml:space="preserve">Use case — Field/Activation</t>
  </si>
  <si>
    <t xml:space="preserve">Field marketing + activations</t>
  </si>
  <si>
    <t xml:space="preserve">#FieldMarketing #BrandActivation #EventBranding #BrandPresence</t>
  </si>
  <si>
    <t xml:space="preserve">Use case — Pop-up</t>
  </si>
  <si>
    <t xml:space="preserve">Retail pop-up + farmers market</t>
  </si>
  <si>
    <t xml:space="preserve">#PopUpShop #MobileBusiness #SmallBiz</t>
  </si>
  <si>
    <t xml:space="preserve">Audience — Marketer</t>
  </si>
  <si>
    <t xml:space="preserve">Marketing manager ICP</t>
  </si>
  <si>
    <t xml:space="preserve">#MarketingManager #MarketingOps #FieldMarketing #B2BMarketing</t>
  </si>
  <si>
    <t xml:space="preserve">Audience — Planner</t>
  </si>
  <si>
    <t xml:space="preserve">Event planner / agency</t>
  </si>
  <si>
    <t xml:space="preserve">#EventPlanner #EventPro #EventProduction</t>
  </si>
  <si>
    <t xml:space="preserve">Trust / locale</t>
  </si>
  <si>
    <t xml:space="preserve">Trust-signal posts</t>
  </si>
  <si>
    <t xml:space="preserve">#MadeInUSA #CustomPrinting #EventProduction</t>
  </si>
  <si>
    <t xml:space="preserve">Review / UGC</t>
  </si>
  <si>
    <t xml:space="preserve">Client results + review posts</t>
  </si>
  <si>
    <t xml:space="preserve">#ClientSpotlight #5StarReview #ClientResults #ClientLove</t>
  </si>
  <si>
    <t xml:space="preserve">Seasonal (Q2)</t>
  </si>
  <si>
    <t xml:space="preserve">April–June event-season push</t>
  </si>
  <si>
    <t xml:space="preserve">#EventSeason #SpringEvents #ConferenceSeason</t>
  </si>
  <si>
    <t xml:space="preserve">Target %</t>
  </si>
  <si>
    <t xml:space="preserve">Target # Posts</t>
  </si>
  <si>
    <t xml:space="preserve">Actual Posts (this month)</t>
  </si>
  <si>
    <t xml:space="preserve">Variance</t>
  </si>
  <si>
    <t xml:space="preserve">TOTAL</t>
  </si>
  <si>
    <t xml:space="preserve">Monthly post target</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</si>
</sst>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2"/>
      <color rgb="FFFFFFFF"/>
      <name val="Arial"/>
      <family val="0"/>
      <charset val="1"/>
    </font>
    <font>
      <b val="true"/>
      <sz val="10"/>
      <name val="Arial"/>
      <family val="0"/>
      <charset val="1"/>
    </font>
    <font>
      <b val="true"/>
      <sz val="10"/>
      <color rgb="FF0000FF"/>
      <name val="Arial"/>
      <family val="0"/>
      <charset val="1"/>
    </font>
  </fonts>
  <fills count="9">
    <fill>
      <patternFill patternType="none"/>
    </fill>
    <fill>
      <patternFill patternType="gray125"/>
    </fill>
    <fill>
      <patternFill patternType="solid">
        <fgColor rgb="FF1B2838"/>
        <bgColor rgb="FF003366"/>
      </patternFill>
    </fill>
    <fill>
      <patternFill patternType="solid">
        <fgColor rgb="FFFDF2E4"/>
        <bgColor rgb="FFF7F7F5"/>
      </patternFill>
    </fill>
    <fill>
      <patternFill patternType="solid">
        <fgColor rgb="FFE8EEF4"/>
        <bgColor rgb="FFE4F1EA"/>
      </patternFill>
    </fill>
    <fill>
      <patternFill patternType="solid">
        <fgColor rgb="FFE4F1EA"/>
        <bgColor rgb="FFE8EEF4"/>
      </patternFill>
    </fill>
    <fill>
      <patternFill patternType="solid">
        <fgColor rgb="FFFFF4CC"/>
        <bgColor rgb="FFFDF2E4"/>
      </patternFill>
    </fill>
    <fill>
      <patternFill patternType="solid">
        <fgColor rgb="FFC17A3A"/>
        <bgColor rgb="FFFF8080"/>
      </patternFill>
    </fill>
    <fill>
      <patternFill patternType="solid">
        <fgColor rgb="FFF7F7F5"/>
        <bgColor rgb="FFFDF2E4"/>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5" fontId="7" fillId="8"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C17A3A"/>
      <rgbColor rgb="FF800080"/>
      <rgbColor rgb="FF008080"/>
      <rgbColor rgb="FFC0C0C0"/>
      <rgbColor rgb="FF808080"/>
      <rgbColor rgb="FF9999FF"/>
      <rgbColor rgb="FF993366"/>
      <rgbColor rgb="FFFFF4CC"/>
      <rgbColor rgb="FFE4F1EA"/>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8EEF4"/>
      <rgbColor rgb="FFF7F7F5"/>
      <rgbColor rgb="FFFDF2E4"/>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6"/>
    <col collapsed="false" customWidth="true" hidden="false" outlineLevel="0" max="4" min="4" style="0" width="9"/>
    <col collapsed="false" customWidth="true" hidden="false" outlineLevel="0" max="5" min="5" style="0" width="11"/>
    <col collapsed="false" customWidth="true" hidden="false" outlineLevel="0" max="6" min="6" style="0" width="18"/>
    <col collapsed="false" customWidth="true" hidden="false" outlineLevel="0" max="7" min="7" style="0" width="34"/>
    <col collapsed="false" customWidth="true" hidden="false" outlineLevel="0" max="8" min="8" style="0" width="44"/>
    <col collapsed="false" customWidth="true" hidden="false" outlineLevel="0" max="9" min="9" style="0" width="60"/>
    <col collapsed="false" customWidth="true" hidden="false" outlineLevel="0" max="10" min="10" style="0" width="40"/>
    <col collapsed="false" customWidth="true" hidden="false" outlineLevel="0" max="11" min="11" style="0" width="28"/>
    <col collapsed="false" customWidth="true" hidden="false" outlineLevel="0" max="12" min="12" style="0" width="40"/>
    <col collapsed="false" customWidth="true" hidden="false" outlineLevel="0" max="13" min="13" style="0" width="1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69.5" hidden="false" customHeight="true" outlineLevel="0" collapsed="false">
      <c r="A2" s="2" t="n">
        <v>1</v>
      </c>
      <c r="B2" s="2" t="s">
        <v>13</v>
      </c>
      <c r="C2" s="2" t="s">
        <v>14</v>
      </c>
      <c r="D2" s="2" t="s">
        <v>15</v>
      </c>
      <c r="E2" s="2" t="s">
        <v>16</v>
      </c>
      <c r="F2" s="2" t="s">
        <v>17</v>
      </c>
      <c r="G2" s="2" t="s">
        <v>18</v>
      </c>
      <c r="H2" s="2" t="s">
        <v>19</v>
      </c>
      <c r="I2" s="2" t="s">
        <v>20</v>
      </c>
      <c r="J2" s="2" t="s">
        <v>21</v>
      </c>
      <c r="K2" s="2" t="s">
        <v>22</v>
      </c>
      <c r="L2" s="2" t="s">
        <v>23</v>
      </c>
      <c r="M2" s="2" t="s">
        <v>24</v>
      </c>
    </row>
    <row r="3" customFormat="false" ht="169.5" hidden="false" customHeight="true" outlineLevel="0" collapsed="false">
      <c r="A3" s="3" t="n">
        <v>2</v>
      </c>
      <c r="B3" s="3" t="s">
        <v>25</v>
      </c>
      <c r="C3" s="3" t="s">
        <v>26</v>
      </c>
      <c r="D3" s="3" t="s">
        <v>15</v>
      </c>
      <c r="E3" s="3" t="s">
        <v>27</v>
      </c>
      <c r="F3" s="3" t="s">
        <v>28</v>
      </c>
      <c r="G3" s="3" t="s">
        <v>29</v>
      </c>
      <c r="H3" s="3" t="s">
        <v>30</v>
      </c>
      <c r="I3" s="3" t="s">
        <v>31</v>
      </c>
      <c r="J3" s="3" t="s">
        <v>32</v>
      </c>
      <c r="K3" s="3" t="s">
        <v>33</v>
      </c>
      <c r="L3" s="3" t="s">
        <v>34</v>
      </c>
      <c r="M3" s="3" t="s">
        <v>24</v>
      </c>
    </row>
    <row r="4" customFormat="false" ht="169.5" hidden="false" customHeight="true" outlineLevel="0" collapsed="false">
      <c r="A4" s="3" t="n">
        <v>3</v>
      </c>
      <c r="B4" s="3" t="s">
        <v>35</v>
      </c>
      <c r="C4" s="3" t="s">
        <v>36</v>
      </c>
      <c r="D4" s="3" t="s">
        <v>15</v>
      </c>
      <c r="E4" s="3" t="s">
        <v>27</v>
      </c>
      <c r="F4" s="3" t="s">
        <v>37</v>
      </c>
      <c r="G4" s="3" t="s">
        <v>38</v>
      </c>
      <c r="H4" s="3" t="s">
        <v>39</v>
      </c>
      <c r="I4" s="3" t="s">
        <v>40</v>
      </c>
      <c r="J4" s="3" t="s">
        <v>41</v>
      </c>
      <c r="K4" s="3" t="s">
        <v>42</v>
      </c>
      <c r="L4" s="3" t="s">
        <v>43</v>
      </c>
      <c r="M4" s="3" t="s">
        <v>24</v>
      </c>
    </row>
    <row r="5" customFormat="false" ht="169.5" hidden="false" customHeight="true" outlineLevel="0" collapsed="false">
      <c r="A5" s="4" t="n">
        <v>4</v>
      </c>
      <c r="B5" s="4" t="s">
        <v>44</v>
      </c>
      <c r="C5" s="4" t="s">
        <v>45</v>
      </c>
      <c r="D5" s="4" t="s">
        <v>15</v>
      </c>
      <c r="E5" s="4" t="s">
        <v>46</v>
      </c>
      <c r="F5" s="4" t="s">
        <v>47</v>
      </c>
      <c r="G5" s="4" t="s">
        <v>48</v>
      </c>
      <c r="H5" s="4" t="s">
        <v>49</v>
      </c>
      <c r="I5" s="4" t="s">
        <v>50</v>
      </c>
      <c r="J5" s="4" t="s">
        <v>51</v>
      </c>
      <c r="K5" s="4" t="s">
        <v>52</v>
      </c>
      <c r="L5" s="4" t="s">
        <v>53</v>
      </c>
      <c r="M5" s="4" t="s">
        <v>24</v>
      </c>
    </row>
    <row r="6" customFormat="false" ht="169.5" hidden="false" customHeight="true" outlineLevel="0" collapsed="false">
      <c r="A6" s="2" t="n">
        <v>5</v>
      </c>
      <c r="B6" s="2" t="s">
        <v>54</v>
      </c>
      <c r="C6" s="2" t="s">
        <v>55</v>
      </c>
      <c r="D6" s="2" t="s">
        <v>15</v>
      </c>
      <c r="E6" s="2" t="s">
        <v>16</v>
      </c>
      <c r="F6" s="2" t="s">
        <v>56</v>
      </c>
      <c r="G6" s="2" t="s">
        <v>57</v>
      </c>
      <c r="H6" s="2" t="s">
        <v>58</v>
      </c>
      <c r="I6" s="2" t="s">
        <v>59</v>
      </c>
      <c r="J6" s="2" t="s">
        <v>60</v>
      </c>
      <c r="K6" s="2" t="s">
        <v>61</v>
      </c>
      <c r="L6" s="2" t="s">
        <v>62</v>
      </c>
      <c r="M6" s="2" t="s">
        <v>24</v>
      </c>
    </row>
    <row r="7" customFormat="false" ht="169.5" hidden="false" customHeight="true" outlineLevel="0" collapsed="false">
      <c r="A7" s="2" t="n">
        <v>6</v>
      </c>
      <c r="B7" s="2" t="s">
        <v>63</v>
      </c>
      <c r="C7" s="2" t="s">
        <v>14</v>
      </c>
      <c r="D7" s="2" t="s">
        <v>64</v>
      </c>
      <c r="E7" s="2" t="s">
        <v>16</v>
      </c>
      <c r="F7" s="2" t="s">
        <v>56</v>
      </c>
      <c r="G7" s="2" t="s">
        <v>65</v>
      </c>
      <c r="H7" s="2" t="s">
        <v>66</v>
      </c>
      <c r="I7" s="2" t="s">
        <v>67</v>
      </c>
      <c r="J7" s="2" t="s">
        <v>68</v>
      </c>
      <c r="K7" s="2" t="s">
        <v>69</v>
      </c>
      <c r="L7" s="2" t="s">
        <v>70</v>
      </c>
      <c r="M7" s="2" t="s">
        <v>24</v>
      </c>
    </row>
    <row r="8" customFormat="false" ht="169.5" hidden="false" customHeight="true" outlineLevel="0" collapsed="false">
      <c r="A8" s="4" t="n">
        <v>7</v>
      </c>
      <c r="B8" s="4" t="s">
        <v>71</v>
      </c>
      <c r="C8" s="4" t="s">
        <v>26</v>
      </c>
      <c r="D8" s="4" t="s">
        <v>64</v>
      </c>
      <c r="E8" s="4" t="s">
        <v>46</v>
      </c>
      <c r="F8" s="4" t="s">
        <v>47</v>
      </c>
      <c r="G8" s="4" t="s">
        <v>72</v>
      </c>
      <c r="H8" s="4" t="s">
        <v>73</v>
      </c>
      <c r="I8" s="4" t="s">
        <v>74</v>
      </c>
      <c r="J8" s="4" t="s">
        <v>75</v>
      </c>
      <c r="K8" s="4" t="s">
        <v>52</v>
      </c>
      <c r="L8" s="4" t="s">
        <v>76</v>
      </c>
      <c r="M8" s="4" t="s">
        <v>24</v>
      </c>
    </row>
    <row r="9" customFormat="false" ht="169.5" hidden="false" customHeight="true" outlineLevel="0" collapsed="false">
      <c r="A9" s="2" t="n">
        <v>8</v>
      </c>
      <c r="B9" s="2" t="s">
        <v>77</v>
      </c>
      <c r="C9" s="2" t="s">
        <v>36</v>
      </c>
      <c r="D9" s="2" t="s">
        <v>64</v>
      </c>
      <c r="E9" s="2" t="s">
        <v>16</v>
      </c>
      <c r="F9" s="2" t="s">
        <v>78</v>
      </c>
      <c r="G9" s="2" t="s">
        <v>79</v>
      </c>
      <c r="H9" s="2" t="s">
        <v>80</v>
      </c>
      <c r="I9" s="2" t="s">
        <v>81</v>
      </c>
      <c r="J9" s="2" t="s">
        <v>82</v>
      </c>
      <c r="K9" s="2" t="s">
        <v>83</v>
      </c>
      <c r="L9" s="2" t="s">
        <v>84</v>
      </c>
      <c r="M9" s="2" t="s">
        <v>24</v>
      </c>
    </row>
    <row r="10" customFormat="false" ht="169.5" hidden="false" customHeight="true" outlineLevel="0" collapsed="false">
      <c r="A10" s="3" t="n">
        <v>9</v>
      </c>
      <c r="B10" s="3" t="s">
        <v>85</v>
      </c>
      <c r="C10" s="3" t="s">
        <v>45</v>
      </c>
      <c r="D10" s="3" t="s">
        <v>64</v>
      </c>
      <c r="E10" s="3" t="s">
        <v>27</v>
      </c>
      <c r="F10" s="3" t="s">
        <v>28</v>
      </c>
      <c r="G10" s="3" t="s">
        <v>86</v>
      </c>
      <c r="H10" s="3" t="s">
        <v>87</v>
      </c>
      <c r="I10" s="3" t="s">
        <v>88</v>
      </c>
      <c r="J10" s="3" t="s">
        <v>89</v>
      </c>
      <c r="K10" s="3" t="s">
        <v>90</v>
      </c>
      <c r="L10" s="3" t="s">
        <v>91</v>
      </c>
      <c r="M10" s="3" t="s">
        <v>24</v>
      </c>
    </row>
    <row r="11" customFormat="false" ht="169.5" hidden="false" customHeight="true" outlineLevel="0" collapsed="false">
      <c r="A11" s="5" t="n">
        <v>10</v>
      </c>
      <c r="B11" s="5" t="s">
        <v>92</v>
      </c>
      <c r="C11" s="5" t="s">
        <v>55</v>
      </c>
      <c r="D11" s="5" t="s">
        <v>64</v>
      </c>
      <c r="E11" s="5" t="s">
        <v>93</v>
      </c>
      <c r="F11" s="5" t="s">
        <v>94</v>
      </c>
      <c r="G11" s="5" t="s">
        <v>95</v>
      </c>
      <c r="H11" s="5" t="s">
        <v>96</v>
      </c>
      <c r="I11" s="5" t="s">
        <v>97</v>
      </c>
      <c r="J11" s="5" t="s">
        <v>98</v>
      </c>
      <c r="K11" s="5" t="s">
        <v>99</v>
      </c>
      <c r="L11" s="5" t="s">
        <v>100</v>
      </c>
      <c r="M11" s="5" t="s">
        <v>24</v>
      </c>
    </row>
    <row r="12" customFormat="false" ht="169.5" hidden="false" customHeight="true" outlineLevel="0" collapsed="false">
      <c r="A12" s="2" t="n">
        <v>11</v>
      </c>
      <c r="B12" s="2" t="s">
        <v>101</v>
      </c>
      <c r="C12" s="2" t="s">
        <v>14</v>
      </c>
      <c r="D12" s="2" t="s">
        <v>102</v>
      </c>
      <c r="E12" s="2" t="s">
        <v>16</v>
      </c>
      <c r="F12" s="2" t="s">
        <v>56</v>
      </c>
      <c r="G12" s="2" t="s">
        <v>103</v>
      </c>
      <c r="H12" s="2" t="s">
        <v>104</v>
      </c>
      <c r="I12" s="2" t="s">
        <v>105</v>
      </c>
      <c r="J12" s="2" t="s">
        <v>106</v>
      </c>
      <c r="K12" s="2" t="s">
        <v>22</v>
      </c>
      <c r="L12" s="2" t="s">
        <v>107</v>
      </c>
      <c r="M12" s="2" t="s">
        <v>24</v>
      </c>
    </row>
    <row r="13" customFormat="false" ht="169.5" hidden="false" customHeight="true" outlineLevel="0" collapsed="false">
      <c r="A13" s="3" t="n">
        <v>12</v>
      </c>
      <c r="B13" s="3" t="s">
        <v>108</v>
      </c>
      <c r="C13" s="3" t="s">
        <v>26</v>
      </c>
      <c r="D13" s="3" t="s">
        <v>102</v>
      </c>
      <c r="E13" s="3" t="s">
        <v>27</v>
      </c>
      <c r="F13" s="3" t="s">
        <v>28</v>
      </c>
      <c r="G13" s="3" t="s">
        <v>109</v>
      </c>
      <c r="H13" s="3" t="s">
        <v>110</v>
      </c>
      <c r="I13" s="3" t="s">
        <v>111</v>
      </c>
      <c r="J13" s="3" t="s">
        <v>112</v>
      </c>
      <c r="K13" s="3" t="s">
        <v>33</v>
      </c>
      <c r="L13" s="3" t="s">
        <v>113</v>
      </c>
      <c r="M13" s="3" t="s">
        <v>24</v>
      </c>
    </row>
    <row r="14" customFormat="false" ht="169.5" hidden="false" customHeight="true" outlineLevel="0" collapsed="false">
      <c r="A14" s="4" t="n">
        <v>13</v>
      </c>
      <c r="B14" s="4" t="s">
        <v>114</v>
      </c>
      <c r="C14" s="4" t="s">
        <v>36</v>
      </c>
      <c r="D14" s="4" t="s">
        <v>102</v>
      </c>
      <c r="E14" s="4" t="s">
        <v>46</v>
      </c>
      <c r="F14" s="4" t="s">
        <v>37</v>
      </c>
      <c r="G14" s="4" t="s">
        <v>115</v>
      </c>
      <c r="H14" s="4" t="s">
        <v>116</v>
      </c>
      <c r="I14" s="4" t="s">
        <v>117</v>
      </c>
      <c r="J14" s="4" t="s">
        <v>118</v>
      </c>
      <c r="K14" s="4" t="s">
        <v>42</v>
      </c>
      <c r="L14" s="4" t="s">
        <v>119</v>
      </c>
      <c r="M14" s="4" t="s">
        <v>24</v>
      </c>
    </row>
    <row r="15" customFormat="false" ht="169.5" hidden="false" customHeight="true" outlineLevel="0" collapsed="false">
      <c r="A15" s="4" t="n">
        <v>14</v>
      </c>
      <c r="B15" s="4" t="s">
        <v>120</v>
      </c>
      <c r="C15" s="4" t="s">
        <v>45</v>
      </c>
      <c r="D15" s="4" t="s">
        <v>102</v>
      </c>
      <c r="E15" s="4" t="s">
        <v>46</v>
      </c>
      <c r="F15" s="4" t="s">
        <v>47</v>
      </c>
      <c r="G15" s="4" t="s">
        <v>121</v>
      </c>
      <c r="H15" s="4" t="s">
        <v>122</v>
      </c>
      <c r="I15" s="4" t="s">
        <v>123</v>
      </c>
      <c r="J15" s="4" t="s">
        <v>124</v>
      </c>
      <c r="K15" s="4" t="s">
        <v>125</v>
      </c>
      <c r="L15" s="4" t="s">
        <v>126</v>
      </c>
      <c r="M15" s="4" t="s">
        <v>24</v>
      </c>
    </row>
    <row r="16" customFormat="false" ht="169.5" hidden="false" customHeight="true" outlineLevel="0" collapsed="false">
      <c r="A16" s="2" t="n">
        <v>15</v>
      </c>
      <c r="B16" s="2" t="s">
        <v>127</v>
      </c>
      <c r="C16" s="2" t="s">
        <v>55</v>
      </c>
      <c r="D16" s="2" t="s">
        <v>102</v>
      </c>
      <c r="E16" s="2" t="s">
        <v>16</v>
      </c>
      <c r="F16" s="2" t="s">
        <v>56</v>
      </c>
      <c r="G16" s="2" t="s">
        <v>128</v>
      </c>
      <c r="H16" s="2" t="s">
        <v>129</v>
      </c>
      <c r="I16" s="2" t="s">
        <v>130</v>
      </c>
      <c r="J16" s="2" t="s">
        <v>131</v>
      </c>
      <c r="K16" s="2" t="s">
        <v>61</v>
      </c>
      <c r="L16" s="2" t="s">
        <v>132</v>
      </c>
      <c r="M16" s="2" t="s">
        <v>24</v>
      </c>
    </row>
    <row r="17" customFormat="false" ht="169.5" hidden="false" customHeight="true" outlineLevel="0" collapsed="false">
      <c r="A17" s="2" t="n">
        <v>16</v>
      </c>
      <c r="B17" s="2" t="s">
        <v>133</v>
      </c>
      <c r="C17" s="2" t="s">
        <v>14</v>
      </c>
      <c r="D17" s="2" t="s">
        <v>134</v>
      </c>
      <c r="E17" s="2" t="s">
        <v>16</v>
      </c>
      <c r="F17" s="2" t="s">
        <v>56</v>
      </c>
      <c r="G17" s="2" t="s">
        <v>135</v>
      </c>
      <c r="H17" s="2" t="s">
        <v>136</v>
      </c>
      <c r="I17" s="2" t="s">
        <v>137</v>
      </c>
      <c r="J17" s="2" t="s">
        <v>138</v>
      </c>
      <c r="K17" s="2" t="s">
        <v>139</v>
      </c>
      <c r="L17" s="2" t="s">
        <v>140</v>
      </c>
      <c r="M17" s="2" t="s">
        <v>24</v>
      </c>
    </row>
    <row r="18" customFormat="false" ht="169.5" hidden="false" customHeight="true" outlineLevel="0" collapsed="false">
      <c r="A18" s="4" t="n">
        <v>17</v>
      </c>
      <c r="B18" s="4" t="s">
        <v>141</v>
      </c>
      <c r="C18" s="4" t="s">
        <v>26</v>
      </c>
      <c r="D18" s="4" t="s">
        <v>134</v>
      </c>
      <c r="E18" s="4" t="s">
        <v>46</v>
      </c>
      <c r="F18" s="4" t="s">
        <v>47</v>
      </c>
      <c r="G18" s="4" t="s">
        <v>142</v>
      </c>
      <c r="H18" s="4" t="s">
        <v>143</v>
      </c>
      <c r="I18" s="4" t="s">
        <v>144</v>
      </c>
      <c r="J18" s="4" t="s">
        <v>145</v>
      </c>
      <c r="K18" s="4" t="s">
        <v>52</v>
      </c>
      <c r="L18" s="4" t="s">
        <v>146</v>
      </c>
      <c r="M18" s="4" t="s">
        <v>24</v>
      </c>
    </row>
    <row r="19" customFormat="false" ht="169.5" hidden="false" customHeight="true" outlineLevel="0" collapsed="false">
      <c r="A19" s="3" t="n">
        <v>18</v>
      </c>
      <c r="B19" s="3" t="s">
        <v>147</v>
      </c>
      <c r="C19" s="3" t="s">
        <v>36</v>
      </c>
      <c r="D19" s="3" t="s">
        <v>134</v>
      </c>
      <c r="E19" s="3" t="s">
        <v>27</v>
      </c>
      <c r="F19" s="3" t="s">
        <v>148</v>
      </c>
      <c r="G19" s="3" t="s">
        <v>149</v>
      </c>
      <c r="H19" s="3" t="s">
        <v>150</v>
      </c>
      <c r="I19" s="3" t="s">
        <v>151</v>
      </c>
      <c r="J19" s="3" t="s">
        <v>152</v>
      </c>
      <c r="K19" s="3" t="s">
        <v>42</v>
      </c>
      <c r="L19" s="3" t="s">
        <v>153</v>
      </c>
      <c r="M19" s="3" t="s">
        <v>24</v>
      </c>
    </row>
    <row r="20" customFormat="false" ht="169.5" hidden="false" customHeight="true" outlineLevel="0" collapsed="false">
      <c r="A20" s="3" t="n">
        <v>19</v>
      </c>
      <c r="B20" s="3" t="s">
        <v>154</v>
      </c>
      <c r="C20" s="3" t="s">
        <v>45</v>
      </c>
      <c r="D20" s="3" t="s">
        <v>134</v>
      </c>
      <c r="E20" s="3" t="s">
        <v>27</v>
      </c>
      <c r="F20" s="3" t="s">
        <v>28</v>
      </c>
      <c r="G20" s="3" t="s">
        <v>155</v>
      </c>
      <c r="H20" s="3" t="s">
        <v>156</v>
      </c>
      <c r="I20" s="3" t="s">
        <v>157</v>
      </c>
      <c r="J20" s="3" t="s">
        <v>158</v>
      </c>
      <c r="K20" s="3" t="s">
        <v>90</v>
      </c>
      <c r="L20" s="3" t="s">
        <v>159</v>
      </c>
      <c r="M20" s="3" t="s">
        <v>24</v>
      </c>
    </row>
    <row r="21" customFormat="false" ht="169.5" hidden="false" customHeight="true" outlineLevel="0" collapsed="false">
      <c r="A21" s="5" t="n">
        <v>20</v>
      </c>
      <c r="B21" s="5" t="s">
        <v>160</v>
      </c>
      <c r="C21" s="5" t="s">
        <v>55</v>
      </c>
      <c r="D21" s="5" t="s">
        <v>134</v>
      </c>
      <c r="E21" s="5" t="s">
        <v>93</v>
      </c>
      <c r="F21" s="5" t="s">
        <v>161</v>
      </c>
      <c r="G21" s="5" t="s">
        <v>162</v>
      </c>
      <c r="H21" s="5" t="s">
        <v>163</v>
      </c>
      <c r="I21" s="5" t="s">
        <v>164</v>
      </c>
      <c r="J21" s="5" t="s">
        <v>165</v>
      </c>
      <c r="K21" s="5" t="s">
        <v>166</v>
      </c>
      <c r="L21" s="5" t="s">
        <v>167</v>
      </c>
      <c r="M21"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52"/>
    <col collapsed="false" customWidth="true" hidden="false" outlineLevel="0" max="4" min="4" style="0" width="70"/>
  </cols>
  <sheetData>
    <row r="1" customFormat="false" ht="15" hidden="false" customHeight="false" outlineLevel="0" collapsed="false">
      <c r="A1" s="6" t="s">
        <v>168</v>
      </c>
      <c r="B1" s="6"/>
      <c r="C1" s="6"/>
      <c r="D1" s="6"/>
    </row>
    <row r="3" customFormat="false" ht="25.5" hidden="false" customHeight="true" outlineLevel="0" collapsed="false">
      <c r="A3" s="7" t="s">
        <v>169</v>
      </c>
      <c r="B3" s="7"/>
      <c r="C3" s="7"/>
      <c r="D3" s="7"/>
    </row>
    <row r="4" customFormat="false" ht="24" hidden="false" customHeight="true" outlineLevel="0" collapsed="false">
      <c r="A4" s="1" t="s">
        <v>170</v>
      </c>
      <c r="B4" s="1" t="s">
        <v>171</v>
      </c>
      <c r="C4" s="1" t="s">
        <v>172</v>
      </c>
      <c r="D4" s="1" t="s">
        <v>173</v>
      </c>
    </row>
    <row r="5" customFormat="false" ht="69.75" hidden="false" customHeight="true" outlineLevel="0" collapsed="false">
      <c r="A5" s="8" t="n">
        <v>1</v>
      </c>
      <c r="B5" s="8" t="s">
        <v>174</v>
      </c>
      <c r="C5" s="8" t="s">
        <v>19</v>
      </c>
      <c r="D5" s="8" t="s">
        <v>175</v>
      </c>
    </row>
    <row r="6" customFormat="false" ht="69.75" hidden="false" customHeight="true" outlineLevel="0" collapsed="false">
      <c r="A6" s="8" t="n">
        <v>2</v>
      </c>
      <c r="B6" s="8" t="s">
        <v>176</v>
      </c>
      <c r="C6" s="8" t="s">
        <v>177</v>
      </c>
      <c r="D6" s="8" t="s">
        <v>178</v>
      </c>
    </row>
    <row r="7" customFormat="false" ht="69.75" hidden="false" customHeight="true" outlineLevel="0" collapsed="false">
      <c r="A7" s="8" t="n">
        <v>3</v>
      </c>
      <c r="B7" s="8" t="s">
        <v>179</v>
      </c>
      <c r="C7" s="8" t="s">
        <v>180</v>
      </c>
      <c r="D7" s="8" t="s">
        <v>181</v>
      </c>
    </row>
    <row r="8" customFormat="false" ht="69.75" hidden="false" customHeight="true" outlineLevel="0" collapsed="false">
      <c r="A8" s="8" t="n">
        <v>4</v>
      </c>
      <c r="B8" s="8" t="s">
        <v>182</v>
      </c>
      <c r="C8" s="8" t="s">
        <v>183</v>
      </c>
      <c r="D8" s="8" t="s">
        <v>184</v>
      </c>
    </row>
    <row r="9" customFormat="false" ht="69.75" hidden="false" customHeight="true" outlineLevel="0" collapsed="false">
      <c r="A9" s="8" t="n">
        <v>5</v>
      </c>
      <c r="B9" s="8" t="s">
        <v>185</v>
      </c>
      <c r="C9" s="8" t="s">
        <v>186</v>
      </c>
      <c r="D9" s="8" t="s">
        <v>187</v>
      </c>
    </row>
    <row r="10" customFormat="false" ht="69.75" hidden="false" customHeight="true" outlineLevel="0" collapsed="false">
      <c r="A10" s="8" t="n">
        <v>6</v>
      </c>
      <c r="B10" s="8" t="s">
        <v>188</v>
      </c>
      <c r="C10" s="8" t="s">
        <v>189</v>
      </c>
      <c r="D10" s="8" t="s">
        <v>190</v>
      </c>
    </row>
    <row r="11" customFormat="false" ht="69.75" hidden="false" customHeight="true" outlineLevel="0" collapsed="false">
      <c r="A11" s="8" t="n">
        <v>7</v>
      </c>
      <c r="B11" s="8" t="s">
        <v>191</v>
      </c>
      <c r="C11" s="8" t="s">
        <v>192</v>
      </c>
      <c r="D11" s="8" t="s">
        <v>193</v>
      </c>
    </row>
    <row r="12" customFormat="false" ht="69.75" hidden="false" customHeight="true" outlineLevel="0" collapsed="false">
      <c r="A12" s="8" t="n">
        <v>8</v>
      </c>
      <c r="B12" s="8" t="s">
        <v>194</v>
      </c>
      <c r="C12" s="8" t="s">
        <v>195</v>
      </c>
      <c r="D12" s="8" t="s">
        <v>196</v>
      </c>
    </row>
    <row r="13" customFormat="false" ht="69.75" hidden="false" customHeight="true" outlineLevel="0" collapsed="false">
      <c r="A13" s="8" t="n">
        <v>9</v>
      </c>
      <c r="B13" s="8" t="s">
        <v>197</v>
      </c>
      <c r="C13" s="8" t="s">
        <v>198</v>
      </c>
      <c r="D13" s="8" t="s">
        <v>199</v>
      </c>
    </row>
    <row r="14" customFormat="false" ht="69.75" hidden="false" customHeight="true" outlineLevel="0" collapsed="false">
      <c r="A14" s="8" t="n">
        <v>10</v>
      </c>
      <c r="B14" s="8" t="s">
        <v>200</v>
      </c>
      <c r="C14" s="8" t="s">
        <v>201</v>
      </c>
      <c r="D14" s="8" t="s">
        <v>202</v>
      </c>
    </row>
    <row r="16" customFormat="false" ht="25.5" hidden="false" customHeight="true" outlineLevel="0" collapsed="false">
      <c r="A16" s="7" t="s">
        <v>203</v>
      </c>
      <c r="B16" s="7"/>
      <c r="C16" s="7"/>
      <c r="D16" s="7"/>
    </row>
    <row r="17" customFormat="false" ht="24" hidden="false" customHeight="true" outlineLevel="0" collapsed="false">
      <c r="A17" s="1" t="s">
        <v>170</v>
      </c>
      <c r="B17" s="1" t="s">
        <v>171</v>
      </c>
      <c r="C17" s="1" t="s">
        <v>172</v>
      </c>
      <c r="D17" s="1" t="s">
        <v>173</v>
      </c>
    </row>
    <row r="18" customFormat="false" ht="69.75" hidden="false" customHeight="true" outlineLevel="0" collapsed="false">
      <c r="A18" s="8" t="n">
        <v>1</v>
      </c>
      <c r="B18" s="8" t="s">
        <v>204</v>
      </c>
      <c r="C18" s="8" t="s">
        <v>58</v>
      </c>
      <c r="D18" s="8" t="s">
        <v>205</v>
      </c>
    </row>
    <row r="19" customFormat="false" ht="69.75" hidden="false" customHeight="true" outlineLevel="0" collapsed="false">
      <c r="A19" s="8" t="n">
        <v>2</v>
      </c>
      <c r="B19" s="8" t="s">
        <v>206</v>
      </c>
      <c r="C19" s="8" t="s">
        <v>207</v>
      </c>
      <c r="D19" s="8" t="s">
        <v>208</v>
      </c>
    </row>
    <row r="20" customFormat="false" ht="69.75" hidden="false" customHeight="true" outlineLevel="0" collapsed="false">
      <c r="A20" s="8" t="n">
        <v>3</v>
      </c>
      <c r="B20" s="8" t="s">
        <v>209</v>
      </c>
      <c r="C20" s="8" t="s">
        <v>210</v>
      </c>
      <c r="D20" s="8" t="s">
        <v>211</v>
      </c>
    </row>
    <row r="21" customFormat="false" ht="69.75" hidden="false" customHeight="true" outlineLevel="0" collapsed="false">
      <c r="A21" s="8" t="n">
        <v>4</v>
      </c>
      <c r="B21" s="8" t="s">
        <v>212</v>
      </c>
      <c r="C21" s="8" t="s">
        <v>213</v>
      </c>
      <c r="D21" s="8" t="s">
        <v>214</v>
      </c>
    </row>
    <row r="22" customFormat="false" ht="69.75" hidden="false" customHeight="true" outlineLevel="0" collapsed="false">
      <c r="A22" s="8" t="n">
        <v>5</v>
      </c>
      <c r="B22" s="8" t="s">
        <v>215</v>
      </c>
      <c r="C22" s="8" t="s">
        <v>216</v>
      </c>
      <c r="D22" s="8" t="s">
        <v>217</v>
      </c>
    </row>
    <row r="23" customFormat="false" ht="69.75" hidden="false" customHeight="true" outlineLevel="0" collapsed="false">
      <c r="A23" s="8" t="n">
        <v>6</v>
      </c>
      <c r="B23" s="8" t="s">
        <v>218</v>
      </c>
      <c r="C23" s="8" t="s">
        <v>219</v>
      </c>
      <c r="D23" s="8" t="s">
        <v>220</v>
      </c>
    </row>
    <row r="24" customFormat="false" ht="69.75" hidden="false" customHeight="true" outlineLevel="0" collapsed="false">
      <c r="A24" s="8" t="n">
        <v>7</v>
      </c>
      <c r="B24" s="8" t="s">
        <v>221</v>
      </c>
      <c r="C24" s="8" t="s">
        <v>222</v>
      </c>
      <c r="D24" s="8" t="s">
        <v>223</v>
      </c>
    </row>
    <row r="25" customFormat="false" ht="69.75" hidden="false" customHeight="true" outlineLevel="0" collapsed="false">
      <c r="A25" s="8" t="n">
        <v>8</v>
      </c>
      <c r="B25" s="8" t="s">
        <v>224</v>
      </c>
      <c r="C25" s="8" t="s">
        <v>225</v>
      </c>
      <c r="D25" s="8" t="s">
        <v>226</v>
      </c>
    </row>
    <row r="26" customFormat="false" ht="69.75" hidden="false" customHeight="true" outlineLevel="0" collapsed="false">
      <c r="A26" s="8" t="n">
        <v>9</v>
      </c>
      <c r="B26" s="8" t="s">
        <v>227</v>
      </c>
      <c r="C26" s="8" t="s">
        <v>228</v>
      </c>
      <c r="D26" s="8" t="s">
        <v>229</v>
      </c>
    </row>
    <row r="28" customFormat="false" ht="25.5" hidden="false" customHeight="true" outlineLevel="0" collapsed="false">
      <c r="A28" s="7" t="s">
        <v>230</v>
      </c>
      <c r="B28" s="7"/>
      <c r="C28" s="7"/>
      <c r="D28" s="7"/>
    </row>
    <row r="29" customFormat="false" ht="24" hidden="false" customHeight="true" outlineLevel="0" collapsed="false">
      <c r="A29" s="1" t="s">
        <v>170</v>
      </c>
      <c r="B29" s="1" t="s">
        <v>171</v>
      </c>
      <c r="C29" s="1" t="s">
        <v>172</v>
      </c>
      <c r="D29" s="1" t="s">
        <v>173</v>
      </c>
    </row>
    <row r="30" customFormat="false" ht="69.75" hidden="false" customHeight="true" outlineLevel="0" collapsed="false">
      <c r="A30" s="8" t="n">
        <v>1</v>
      </c>
      <c r="B30" s="8" t="s">
        <v>204</v>
      </c>
      <c r="C30" s="8" t="s">
        <v>66</v>
      </c>
      <c r="D30" s="8" t="s">
        <v>231</v>
      </c>
    </row>
    <row r="31" customFormat="false" ht="69.75" hidden="false" customHeight="true" outlineLevel="0" collapsed="false">
      <c r="A31" s="8" t="n">
        <v>2</v>
      </c>
      <c r="B31" s="8" t="s">
        <v>232</v>
      </c>
      <c r="C31" s="8" t="s">
        <v>233</v>
      </c>
      <c r="D31" s="8" t="s">
        <v>234</v>
      </c>
    </row>
    <row r="32" customFormat="false" ht="69.75" hidden="false" customHeight="true" outlineLevel="0" collapsed="false">
      <c r="A32" s="8" t="n">
        <v>3</v>
      </c>
      <c r="B32" s="8" t="s">
        <v>235</v>
      </c>
      <c r="C32" s="8" t="s">
        <v>236</v>
      </c>
      <c r="D32" s="8" t="s">
        <v>237</v>
      </c>
    </row>
    <row r="33" customFormat="false" ht="69.75" hidden="false" customHeight="true" outlineLevel="0" collapsed="false">
      <c r="A33" s="8" t="n">
        <v>4</v>
      </c>
      <c r="B33" s="8" t="s">
        <v>238</v>
      </c>
      <c r="C33" s="8" t="s">
        <v>239</v>
      </c>
      <c r="D33" s="8" t="s">
        <v>240</v>
      </c>
    </row>
    <row r="34" customFormat="false" ht="69.75" hidden="false" customHeight="true" outlineLevel="0" collapsed="false">
      <c r="A34" s="8" t="n">
        <v>5</v>
      </c>
      <c r="B34" s="8" t="s">
        <v>241</v>
      </c>
      <c r="C34" s="8" t="s">
        <v>242</v>
      </c>
      <c r="D34" s="8" t="s">
        <v>243</v>
      </c>
    </row>
    <row r="35" customFormat="false" ht="69.75" hidden="false" customHeight="true" outlineLevel="0" collapsed="false">
      <c r="A35" s="8" t="n">
        <v>6</v>
      </c>
      <c r="B35" s="8" t="s">
        <v>244</v>
      </c>
      <c r="C35" s="8" t="s">
        <v>245</v>
      </c>
      <c r="D35" s="8" t="s">
        <v>246</v>
      </c>
    </row>
    <row r="36" customFormat="false" ht="69.75" hidden="false" customHeight="true" outlineLevel="0" collapsed="false">
      <c r="A36" s="8" t="n">
        <v>7</v>
      </c>
      <c r="B36" s="8" t="s">
        <v>247</v>
      </c>
      <c r="C36" s="8" t="s">
        <v>248</v>
      </c>
      <c r="D36" s="8" t="s">
        <v>249</v>
      </c>
    </row>
    <row r="37" customFormat="false" ht="69.75" hidden="false" customHeight="true" outlineLevel="0" collapsed="false">
      <c r="A37" s="8" t="n">
        <v>8</v>
      </c>
      <c r="B37" s="8" t="s">
        <v>250</v>
      </c>
      <c r="C37" s="8" t="s">
        <v>251</v>
      </c>
      <c r="D37" s="8" t="s">
        <v>252</v>
      </c>
    </row>
    <row r="38" customFormat="false" ht="69.75" hidden="false" customHeight="true" outlineLevel="0" collapsed="false">
      <c r="A38" s="8" t="n">
        <v>9</v>
      </c>
      <c r="B38" s="8" t="s">
        <v>227</v>
      </c>
      <c r="C38" s="8" t="s">
        <v>253</v>
      </c>
      <c r="D38" s="8" t="s">
        <v>254</v>
      </c>
    </row>
  </sheetData>
  <mergeCells count="4">
    <mergeCell ref="A1:D1"/>
    <mergeCell ref="A3:D3"/>
    <mergeCell ref="A16:D16"/>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70"/>
  </cols>
  <sheetData>
    <row r="1" customFormat="false" ht="15" hidden="false" customHeight="false" outlineLevel="0" collapsed="false">
      <c r="A1" s="1" t="s">
        <v>255</v>
      </c>
      <c r="B1" s="1" t="s">
        <v>256</v>
      </c>
      <c r="C1" s="1" t="s">
        <v>9</v>
      </c>
    </row>
    <row r="2" customFormat="false" ht="27.75" hidden="false" customHeight="true" outlineLevel="0" collapsed="false">
      <c r="A2" s="8" t="s">
        <v>257</v>
      </c>
      <c r="B2" s="8" t="s">
        <v>258</v>
      </c>
      <c r="C2" s="8" t="s">
        <v>259</v>
      </c>
    </row>
    <row r="3" customFormat="false" ht="27.75" hidden="false" customHeight="true" outlineLevel="0" collapsed="false">
      <c r="A3" s="8" t="s">
        <v>260</v>
      </c>
      <c r="B3" s="8" t="s">
        <v>261</v>
      </c>
      <c r="C3" s="8" t="s">
        <v>262</v>
      </c>
    </row>
    <row r="4" customFormat="false" ht="27.75" hidden="false" customHeight="true" outlineLevel="0" collapsed="false">
      <c r="A4" s="8" t="s">
        <v>263</v>
      </c>
      <c r="B4" s="8" t="s">
        <v>264</v>
      </c>
      <c r="C4" s="8" t="s">
        <v>265</v>
      </c>
    </row>
    <row r="5" customFormat="false" ht="27.75" hidden="false" customHeight="true" outlineLevel="0" collapsed="false">
      <c r="A5" s="8" t="s">
        <v>266</v>
      </c>
      <c r="B5" s="8" t="s">
        <v>267</v>
      </c>
      <c r="C5" s="8" t="s">
        <v>268</v>
      </c>
    </row>
    <row r="6" customFormat="false" ht="27.75" hidden="false" customHeight="true" outlineLevel="0" collapsed="false">
      <c r="A6" s="8" t="s">
        <v>269</v>
      </c>
      <c r="B6" s="8" t="s">
        <v>270</v>
      </c>
      <c r="C6" s="8" t="s">
        <v>271</v>
      </c>
    </row>
    <row r="7" customFormat="false" ht="27.75" hidden="false" customHeight="true" outlineLevel="0" collapsed="false">
      <c r="A7" s="8" t="s">
        <v>272</v>
      </c>
      <c r="B7" s="8" t="s">
        <v>273</v>
      </c>
      <c r="C7" s="8" t="s">
        <v>274</v>
      </c>
    </row>
    <row r="8" customFormat="false" ht="27.75" hidden="false" customHeight="true" outlineLevel="0" collapsed="false">
      <c r="A8" s="8" t="s">
        <v>275</v>
      </c>
      <c r="B8" s="8" t="s">
        <v>276</v>
      </c>
      <c r="C8" s="8" t="s">
        <v>277</v>
      </c>
    </row>
    <row r="9" customFormat="false" ht="27.75" hidden="false" customHeight="true" outlineLevel="0" collapsed="false">
      <c r="A9" s="8" t="s">
        <v>278</v>
      </c>
      <c r="B9" s="8" t="s">
        <v>279</v>
      </c>
      <c r="C9" s="8" t="s">
        <v>280</v>
      </c>
    </row>
    <row r="10" customFormat="false" ht="27.75" hidden="false" customHeight="true" outlineLevel="0" collapsed="false">
      <c r="A10" s="8" t="s">
        <v>281</v>
      </c>
      <c r="B10" s="8" t="s">
        <v>282</v>
      </c>
      <c r="C10" s="8" t="s">
        <v>283</v>
      </c>
    </row>
    <row r="11" customFormat="false" ht="27.75" hidden="false" customHeight="true" outlineLevel="0" collapsed="false">
      <c r="A11" s="8" t="s">
        <v>284</v>
      </c>
      <c r="B11" s="8" t="s">
        <v>285</v>
      </c>
      <c r="C11" s="8" t="s">
        <v>286</v>
      </c>
    </row>
    <row r="12" customFormat="false" ht="27.75" hidden="false" customHeight="true" outlineLevel="0" collapsed="false">
      <c r="A12" s="8" t="s">
        <v>287</v>
      </c>
      <c r="B12" s="8" t="s">
        <v>288</v>
      </c>
      <c r="C12" s="8" t="s">
        <v>289</v>
      </c>
    </row>
    <row r="13" customFormat="false" ht="27.75" hidden="false" customHeight="true" outlineLevel="0" collapsed="false">
      <c r="A13" s="8" t="s">
        <v>290</v>
      </c>
      <c r="B13" s="8" t="s">
        <v>291</v>
      </c>
      <c r="C13" s="8"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6"/>
    <col collapsed="false" customWidth="true" hidden="false" outlineLevel="0" max="4" min="4" style="0" width="22"/>
    <col collapsed="false" customWidth="true" hidden="false" outlineLevel="0" max="5" min="5" style="0" width="12"/>
    <col collapsed="false" customWidth="true" hidden="false" outlineLevel="0" max="6" min="6" style="0" width="16"/>
  </cols>
  <sheetData>
    <row r="1" customFormat="false" ht="26.85" hidden="false" customHeight="false" outlineLevel="0" collapsed="false">
      <c r="A1" s="1" t="s">
        <v>4</v>
      </c>
      <c r="B1" s="1" t="s">
        <v>293</v>
      </c>
      <c r="C1" s="1" t="s">
        <v>294</v>
      </c>
      <c r="D1" s="1" t="s">
        <v>295</v>
      </c>
      <c r="E1" s="1" t="s">
        <v>296</v>
      </c>
      <c r="F1" s="1" t="s">
        <v>12</v>
      </c>
    </row>
    <row r="2" customFormat="false" ht="15" hidden="false" customHeight="false" outlineLevel="0" collapsed="false">
      <c r="A2" s="8" t="s">
        <v>16</v>
      </c>
      <c r="B2" s="9" t="n">
        <v>0.35</v>
      </c>
      <c r="C2" s="8" t="n">
        <f aca="false">ROUND(B2*$B$7,0)</f>
        <v>7</v>
      </c>
      <c r="D2" s="8" t="n">
        <f aca="false">COUNTIF('Month 1 Calendar'!E:E,"Education")</f>
        <v>7</v>
      </c>
      <c r="E2" s="8" t="n">
        <f aca="false">D2-C2</f>
        <v>0</v>
      </c>
      <c r="F2" s="8" t="str">
        <f aca="false">IF(E2=0,"On target",IF(E2&gt;0,"Over","Under"))</f>
        <v>On target</v>
      </c>
    </row>
    <row r="3" customFormat="false" ht="15" hidden="false" customHeight="false" outlineLevel="0" collapsed="false">
      <c r="A3" s="8" t="s">
        <v>27</v>
      </c>
      <c r="B3" s="9" t="n">
        <v>0.3</v>
      </c>
      <c r="C3" s="8" t="n">
        <f aca="false">ROUND(B3*$B$7,0)</f>
        <v>6</v>
      </c>
      <c r="D3" s="8" t="n">
        <f aca="false">COUNTIF('Month 1 Calendar'!E:E,"Product")</f>
        <v>6</v>
      </c>
      <c r="E3" s="8" t="n">
        <f aca="false">D3-C3</f>
        <v>0</v>
      </c>
      <c r="F3" s="8" t="str">
        <f aca="false">IF(E3=0,"On target",IF(E3&gt;0,"Over","Under"))</f>
        <v>On target</v>
      </c>
    </row>
    <row r="4" customFormat="false" ht="15" hidden="false" customHeight="false" outlineLevel="0" collapsed="false">
      <c r="A4" s="8" t="s">
        <v>46</v>
      </c>
      <c r="B4" s="9" t="n">
        <v>0.25</v>
      </c>
      <c r="C4" s="8" t="n">
        <f aca="false">ROUND(B4*$B$7,0)</f>
        <v>5</v>
      </c>
      <c r="D4" s="8" t="n">
        <f aca="false">COUNTIF('Month 1 Calendar'!E:E,"Client")</f>
        <v>5</v>
      </c>
      <c r="E4" s="8" t="n">
        <f aca="false">D4-C4</f>
        <v>0</v>
      </c>
      <c r="F4" s="8" t="str">
        <f aca="false">IF(E4=0,"On target",IF(E4&gt;0,"Over","Under"))</f>
        <v>On target</v>
      </c>
    </row>
    <row r="5" customFormat="false" ht="15" hidden="false" customHeight="false" outlineLevel="0" collapsed="false">
      <c r="A5" s="8" t="s">
        <v>93</v>
      </c>
      <c r="B5" s="9" t="n">
        <v>0.1</v>
      </c>
      <c r="C5" s="8" t="n">
        <f aca="false">ROUND(B5*$B$7,0)</f>
        <v>2</v>
      </c>
      <c r="D5" s="8" t="n">
        <f aca="false">COUNTIF('Month 1 Calendar'!E:E,"Promo")</f>
        <v>2</v>
      </c>
      <c r="E5" s="8" t="n">
        <f aca="false">D5-C5</f>
        <v>0</v>
      </c>
      <c r="F5" s="8" t="str">
        <f aca="false">IF(E5=0,"On target",IF(E5&gt;0,"Over","Under"))</f>
        <v>On target</v>
      </c>
    </row>
    <row r="6" customFormat="false" ht="15" hidden="false" customHeight="false" outlineLevel="0" collapsed="false">
      <c r="A6" s="10" t="s">
        <v>297</v>
      </c>
      <c r="B6" s="11" t="n">
        <f aca="false">SUM(B2:B5)</f>
        <v>1</v>
      </c>
      <c r="C6" s="10" t="n">
        <f aca="false">SUM(C2:C5)</f>
        <v>20</v>
      </c>
      <c r="D6" s="10" t="n">
        <f aca="false">SUM(D2:D5)</f>
        <v>20</v>
      </c>
      <c r="E6" s="10"/>
      <c r="F6" s="10"/>
    </row>
    <row r="7" customFormat="false" ht="15" hidden="false" customHeight="false" outlineLevel="0" collapsed="false">
      <c r="A7" s="12" t="s">
        <v>298</v>
      </c>
      <c r="B7" s="13"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2026-04-14T08:30:29Z</dcterms:created>
  <dc:creator>openpyxl</dc:creator>
  <dc:description/>
  <dc:language>en-US</dc:language>
  <cp:lastModifiedBy/>
  <dcterms:modified xsi:type="dcterms:W3CDTF">2026-04-14T08:30:32Z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