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nth 2 Calendar" sheetId="1" state="visible" r:id="rId3"/>
    <sheet name="Carousel Slide Copy" sheetId="2" state="visible" r:id="rId4"/>
    <sheet name="Hashtag Sets" sheetId="3" state="visible" r:id="rId5"/>
    <sheet name="Pillar Target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<sst xmlns="http://schemas.openxmlformats.org/spreadsheetml/2006/main" count="506" uniqueCount="375">
  <si>
    <t xml:space="preserve">#</t>
  </si>
  <si>
    <t xml:space="preserve">Date</t>
  </si>
  <si>
    <t xml:space="preserve">Day</t>
  </si>
  <si>
    <t xml:space="preserve">Week</t>
  </si>
  <si>
    <t xml:space="preserve">Pillar</t>
  </si>
  <si>
    <t xml:space="preserve">Format</t>
  </si>
  <si>
    <t xml:space="preserve">Framework / Angle</t>
  </si>
  <si>
    <t xml:space="preserve">Hook (Slide 1 / Caption opener)</t>
  </si>
  <si>
    <t xml:space="preserve">Full Caption</t>
  </si>
  <si>
    <t xml:space="preserve">Hashtags</t>
  </si>
  <si>
    <t xml:space="preserve">Canva Template</t>
  </si>
  <si>
    <t xml:space="preserve">Asset Notes</t>
  </si>
  <si>
    <t xml:space="preserve">Status</t>
  </si>
  <si>
    <t xml:space="preserve">2026-05-18</t>
  </si>
  <si>
    <t xml:space="preserve">Mon</t>
  </si>
  <si>
    <t xml:space="preserve">W1 (A)</t>
  </si>
  <si>
    <t xml:space="preserve">Education</t>
  </si>
  <si>
    <t xml:space="preserve">Carousel (10 slides)</t>
  </si>
  <si>
    <t xml:space="preserve">Framework #7 — The Fabric Refresh Playbook (NEW)</t>
  </si>
  <si>
    <t xml:space="preserve">Your booth graphics don't last forever. Most marketing teams wait 2 shows too long to refresh.</t>
  </si>
  <si>
    <t xml:space="preserve">Your booth graphics don't last forever. Most marketing teams wait 2 shows too long to refresh.
Dye-sub fabric graphics hold their color for ~3-4 years of regular use — but sun, travel, and teardown wear them down faster than the frame. By the time the seam fray is visible from the booth photo, your brand is already leaking presence on every activation.
Swipe → the Fabric Refresh Playbook: 4 tells that your graphics are past their prime, a 2-minute in-booth inspection you can run the morning of any show, and the 5-day reprint path when it's time.
Thinking about a refresh before summer tour season? We spec one for you. → promongrow.com · (844) 883-3308</t>
  </si>
  <si>
    <t xml:space="preserve">#PromoAndGrow #FabricRefresh #CustomBackdrop #TensionFabric #TradeShowBooth #EventBranding #MadeInUSA #MarketingManager</t>
  </si>
  <si>
    <t xml:space="preserve">Framework Carousel Master</t>
  </si>
  <si>
    <t xml:space="preserve">Build 10 slides. Slides 3-6 = the 4 tells (use close-up production-floor photos of worn vs fresh fabric if available). Slide 7 = in-booth inspection checklist graphic.</t>
  </si>
  <si>
    <t xml:space="preserve">Draft</t>
  </si>
  <si>
    <t xml:space="preserve">2026-05-19</t>
  </si>
  <si>
    <t xml:space="preserve">Tue</t>
  </si>
  <si>
    <t xml:space="preserve">Product</t>
  </si>
  <si>
    <t xml:space="preserve">Single</t>
  </si>
  <si>
    <t xml:space="preserve">Product hero — 10x20 custom tent (festival-scale)</t>
  </si>
  <si>
    <t xml:space="preserve">10x20 custom canopy. 200 sq ft of brand. Built for festival season.</t>
  </si>
  <si>
    <t xml:space="preserve">10x20 custom canopy. 200 sq ft of brand. Built for festival season.
Twice the footprint of a 10x10 means twice the sightline from across a field. Heavy-duty frame, full-color dye-sub print, free artwork proof before production, 5-business-day turnaround.
Outdoor activation coming up? This is the footprint you want.
Start a quote → promongrow.com · (844) 883-3308</t>
  </si>
  <si>
    <t xml:space="preserve">#PromoAndGrow #10x20Tent #CustomTent #FestivalBooth #OutdoorEvent #BrandActivation #MadeInUSA #FieldMarketing</t>
  </si>
  <si>
    <t xml:space="preserve">Product Hero Single</t>
  </si>
  <si>
    <t xml:space="preserve">Hero shot of a 10x20 canopy at an outdoor event — sunlight, real crowd. If no client photo available, use a clean production-floor 10x20 shot.</t>
  </si>
  <si>
    <t xml:space="preserve">2026-05-20</t>
  </si>
  <si>
    <t xml:space="preserve">Wed</t>
  </si>
  <si>
    <t xml:space="preserve">Reel (15-30s)</t>
  </si>
  <si>
    <t xml:space="preserve">Dye-sub print process Reel — how graphics actually get on the fabric</t>
  </si>
  <si>
    <t xml:space="preserve">This is how your booth graphics actually get printed.</t>
  </si>
  <si>
    <t xml:space="preserve">This is how your booth graphics actually get printed. Dye-sublimation. Heat + pressure. Ink becomes part of the fabric, not a sticker on top of it.
That's why PNG graphics hold their color through 2-3 years of shows instead of peeling after the first one.
5-day turn. Made in Lynwood, CA.
promongrow.com</t>
  </si>
  <si>
    <t xml:space="preserve">#PromoAndGrow #DyeSublimation #PrintProduction #BehindTheScenes #CustomBackdrop #MadeInUSA #EventProduction</t>
  </si>
  <si>
    <t xml:space="preserve">Product Reel template</t>
  </si>
  <si>
    <t xml:space="preserve">Film the dye-sub process: file → heat press → fabric pulled off. Speed to 15-20s. DM Sans lower-third labels at each step.</t>
  </si>
  <si>
    <t xml:space="preserve">2026-05-21</t>
  </si>
  <si>
    <t xml:space="preserve">Thu</t>
  </si>
  <si>
    <t xml:space="preserve">Client</t>
  </si>
  <si>
    <t xml:space="preserve">Single (Review)</t>
  </si>
  <si>
    <t xml:space="preserve">Review post E — 5★ with festival/outdoor context</t>
  </si>
  <si>
    <t xml:space="preserve">★★★★★ "Held up through three 90° weekends. Still looks brand new."</t>
  </si>
  <si>
    <t xml:space="preserve">★★★★★ from [Client, Company] — pulled from Judge.me this week.
They ordered a 10x10 canopy + table throw for a three-stop summer tour last year. Three cities, three weekends, three 90°+ days. The booth came back and went straight into this year's rotation.
That's the dye-sub fabric difference. And the reason we proof every order before production.
Leave us a review on your next order → link in bio. promongrow.com · (844) 883-3308</t>
  </si>
  <si>
    <t xml:space="preserve">#PromoAndGrow #ClientLove #5StarReview #FestivalSeason #OutdoorEvent #CustomTent #MadeInUSA</t>
  </si>
  <si>
    <t xml:space="preserve">Review Single (Template A)</t>
  </si>
  <si>
    <t xml:space="preserve">Pull from Review Queue — swap in real quote + event. Use client outdoor event photo if available.</t>
  </si>
  <si>
    <t xml:space="preserve">2026-05-22</t>
  </si>
  <si>
    <t xml:space="preserve">Fri</t>
  </si>
  <si>
    <t xml:space="preserve">Carousel (9 slides)</t>
  </si>
  <si>
    <t xml:space="preserve">Framework #8 — The 48-Hour Booth Recovery Playbook (NEW)</t>
  </si>
  <si>
    <t xml:space="preserve">Your booth got damaged on the truck. The show is Friday. Here's the 48-hour recovery play.</t>
  </si>
  <si>
    <t xml:space="preserve">Your booth got damaged on the truck. The show is Friday. Here's the 48-hour recovery play.
Bent frame, torn graphic, missing piece — it happens to every marketing team that runs more than 3 shows a year. The difference between 'blown weekend' and 'ship it' is 48 hours and a production team that picks up the phone.
Swipe → the 48-Hour Booth Recovery framework: the 3 damage categories we handle on rush, the exact info we need from you to start production, and the math on shipping to your show venue vs. your warehouse.
Save this for the next oh-no moment. Then call us. (844) 883-3308</t>
  </si>
  <si>
    <t xml:space="preserve">#PromoAndGrow #BoothRecovery #EventOps #MarketingOps #CustomPrinting #TradeShowBooth #RushProduction #MadeInUSA</t>
  </si>
  <si>
    <t xml:space="preserve">9 slides. Slide 3-5 = damage categories with production-floor photos. Slide 6 = info checklist (file format, deadline, ship address). Slide 7 = shipping logic diagram. Slide 8 = CTA with phone number large.</t>
  </si>
  <si>
    <t xml:space="preserve">2026-05-25</t>
  </si>
  <si>
    <t xml:space="preserve">W2 (B)</t>
  </si>
  <si>
    <t xml:space="preserve">Made-in-USA BTS — production floor trust signal</t>
  </si>
  <si>
    <t xml:space="preserve">This is the floor your booth gets made on. Lynwood, CA.</t>
  </si>
  <si>
    <t xml:space="preserve">This is the floor your booth gets made on. Lynwood, CA.
20+ years of production. Not dropshipped. Not outsourced. Every canopy, backdrop, and table throw proofed by a human before it goes to print.
4.8★ on Google. 5-day turnaround nationwide.
See what's on the floor this week → promongrow.com</t>
  </si>
  <si>
    <t xml:space="preserve">#PromoAndGrow #MadeInUSA #BehindTheScenes #PrintProduction #CustomTent #TradeShowBooth #EventProduction</t>
  </si>
  <si>
    <t xml:space="preserve">Trust Stat Single</t>
  </si>
  <si>
    <t xml:space="preserve">Warm, honest production-floor photo mid-job. Not staged. Include a visible PNG product in-progress if possible.</t>
  </si>
  <si>
    <t xml:space="preserve">2026-05-26</t>
  </si>
  <si>
    <t xml:space="preserve">Brand Presence Stack — Outdoor Edition (extends Framework #2)</t>
  </si>
  <si>
    <t xml:space="preserve">The Brand Presence Stack breaks differently outdoors. Here's what changes.</t>
  </si>
  <si>
    <t xml:space="preserve">The Brand Presence Stack breaks differently outdoors. Here's what changes.
Indoor, you own the lighting and the ceiling. Outdoor, the sun is your lighting director and the wind is the boss. That changes what each of the 4 stack layers needs to do — canopy, backdrop, floor, wearables.
Swipe → the Outdoor Edition: how each stack layer shifts for festivals and outdoor activations, the frame + anchor math we use for wind-exposed venues, and a scorecard you can use on your own tour.
Booking a summer tour? We'll spec the full stack in 5 days → promongrow.com · (844) 883-3308</t>
  </si>
  <si>
    <t xml:space="preserve">#PromoAndGrow #BrandPresence #OutdoorEvent #FestivalBooth #EventMarketing #FieldMarketing #TradeShowBooth #MarketingFramework</t>
  </si>
  <si>
    <t xml:space="preserve">9 slides. Build on the Month 1 Framework #2 carousel aesthetic. Use an outdoor festival client photo on slides 4-7.</t>
  </si>
  <si>
    <t xml:space="preserve">2026-05-27</t>
  </si>
  <si>
    <t xml:space="preserve">Reel (20-40s)</t>
  </si>
  <si>
    <t xml:space="preserve">Festival tour packing Reel — what 3-city kit looks like in boxes</t>
  </si>
  <si>
    <t xml:space="preserve">One 10x20 kit. Three cities. This is what fits in the truck.</t>
  </si>
  <si>
    <t xml:space="preserve">One 10x20 kit. Three cities. This is what fits in the truck.
10x20 canopy + tension backdrop + 4 retractable banners + 2 branded table throws + weighted anchor kit. Packed for a 3-stop summer tour. Rolls through a hotel lobby or loads onto a cargo van.
This is what 'Made for the road' actually looks like when it ships from Lynwood.
promongrow.com</t>
  </si>
  <si>
    <t xml:space="preserve">#PromoAndGrow #FestivalSeason #OutdoorEvent #BrandOnTour #10x20Tent #BoothKit #MadeInUSA #EventProduction</t>
  </si>
  <si>
    <t xml:space="preserve">Film an outbound festival-kit order pack-up. Show case sizes clearly. 20-30s. End on the truck loading shot.</t>
  </si>
  <si>
    <t xml:space="preserve">2026-05-28</t>
  </si>
  <si>
    <t xml:space="preserve">Review post F — 5★ repeat buyer (summer tour)</t>
  </si>
  <si>
    <t xml:space="preserve">★★★★★ "Second summer running PNG. Haven't thought about tent vendors in two years."</t>
  </si>
  <si>
    <t xml:space="preserve">★★★★★ from a repeat buyer going into their second summer tour with us.
First tour was a trial: 4 cities, one 10x10, one backdrop. Second tour was a scale-up: 6 cities, a 10x20, full bundle. Zero print issues across 10 setups.
Repeat orders are the only score that matters in this business. Here's to a third summer.
Start your tour kit → promongrow.com · (844) 883-3308</t>
  </si>
  <si>
    <t xml:space="preserve">#PromoAndGrow #RepeatCustomer #5StarReview #SummerTour #ClientResults #TradeShowBooth #MadeInUSA</t>
  </si>
  <si>
    <t xml:space="preserve">Pull from Review Queue. Emphasize 'second summer' / repeat angle in graphic overlay.</t>
  </si>
  <si>
    <t xml:space="preserve">2026-05-29</t>
  </si>
  <si>
    <t xml:space="preserve">Quick-win Reel — 3 questions to ask before any outdoor activation</t>
  </si>
  <si>
    <t xml:space="preserve">3 questions every marketing manager should ask before booking an outdoor booth.</t>
  </si>
  <si>
    <t xml:space="preserve">3 questions every marketing manager should ask before booking an outdoor booth.
1. What's the wind exposure — field, parking lot, or building-adjacent?
2. Who's on the setup crew — pro team or brand-side marketing?
3. What's the show-day weather contingency — shade, rain, or both?
Answering these 3 upfront saves a phone call at 6am on load-in day. Full outdoor checklist in our bio.
promongrow.com · (844) 883-3308</t>
  </si>
  <si>
    <t xml:space="preserve">#PromoAndGrow #OutdoorEvent #EventPlanning #MarketingManager #FieldMarketing #EventOps #FestivalSeason</t>
  </si>
  <si>
    <t xml:space="preserve">Education Reel cover</t>
  </si>
  <si>
    <t xml:space="preserve">3-question Reel with text-on-screen. B-roll of outdoor booth setup. Under 40s.</t>
  </si>
  <si>
    <t xml:space="preserve">2026-06-01</t>
  </si>
  <si>
    <t xml:space="preserve">W3 (A)</t>
  </si>
  <si>
    <t xml:space="preserve">File Prep for Outdoor Print — sunlight, color, and contrast (extends Framework #5)</t>
  </si>
  <si>
    <t xml:space="preserve">Your booth graphics look different at 11am on a sunny field than they did in your Canva preview.</t>
  </si>
  <si>
    <t xml:space="preserve">Your booth graphics look different at 11am on a sunny field than they did in your Canva preview.
Outdoor print specs aren't the same as indoor. Sunlight flattens contrast, washes mid-tones, and turns any color close to pastel into a ghost. We've seen perfect-on-screen artwork disappear at 20 feet because of it.
Swipe → the Outdoor Print File Prep checklist: 5 file tweaks that survive sunlight, the CMYK ranges we recommend for field visibility, and the free Canva template that bakes them in.
Sending a file for a summer event? We'll proof it before production → promongrow.com</t>
  </si>
  <si>
    <t xml:space="preserve">#PromoAndGrow #FilePrep #OutdoorEvent #PrintDesign #MarketingOps #CanvaTips #FestivalBooth #CustomPrinting</t>
  </si>
  <si>
    <t xml:space="preserve">Quick-Win Tip Carousel</t>
  </si>
  <si>
    <t xml:space="preserve">9 slides. Slide 3-5 = before/after examples of color visibility outdoors. Slide 6 = CMYK range guide. Slide 7 = Canva template preview.</t>
  </si>
  <si>
    <t xml:space="preserve">2026-06-02</t>
  </si>
  <si>
    <t xml:space="preserve">Product detail — branded feather flags (festival sightline)</t>
  </si>
  <si>
    <t xml:space="preserve">Feather flags. Seen from 3 aisles away. 4-day turn.</t>
  </si>
  <si>
    <t xml:space="preserve">Feather flags. Seen from 3 aisles away. 4-day turn.
The move most marketing teams skip: vertical signage above crowd height. A 10x10 booth at eye level is invisible once the booth next to yours puts up a feather flag.
Full-color dye-sub on outdoor-rated fabric. Ground stake or cross-base. Free artwork proof.
Spec your flags → promongrow.com</t>
  </si>
  <si>
    <t xml:space="preserve">#PromoAndGrow #FeatherFlag #CustomFlag #FestivalBooth #OutdoorEvent #BrandPresence #MadeInUSA #EventBranding</t>
  </si>
  <si>
    <t xml:space="preserve">Product Detail Carousel</t>
  </si>
  <si>
    <t xml:space="preserve">3-slide carousel: hero flag shot, base options (stake + cross-base), size chart.</t>
  </si>
  <si>
    <t xml:space="preserve">2026-06-03</t>
  </si>
  <si>
    <t xml:space="preserve">Client install Reel — outdoor booth reveal</t>
  </si>
  <si>
    <t xml:space="preserve">6am parking lot. 10am open booth. This is [Client] at [Festival Name].</t>
  </si>
  <si>
    <t xml:space="preserve">6am parking lot. 10am open booth. This is [Client] at [Festival Name].
Full outdoor setup: 10x20 canopy with weighted anchors, tension backdrop, 4 feather flags on the perimeter, branded table throws. Two-person crew. Shot on iPhone.
Your summer tour could look like this. 5-day production. promongrow.com · (844) 883-3308</t>
  </si>
  <si>
    <t xml:space="preserve">#PromoAndGrow #FestivalBooth #OutdoorEvent #ClientSpotlight #BoothSetup #SummerTour #MadeInUSA</t>
  </si>
  <si>
    <t xml:space="preserve">Cut Reel from a real outdoor client install (with permission). Show the 'empty to full' transformation clearly. Tag the client's handle.</t>
  </si>
  <si>
    <t xml:space="preserve">2026-06-04</t>
  </si>
  <si>
    <t xml:space="preserve">Product detail — weighted anchor kits (wind safety)</t>
  </si>
  <si>
    <t xml:space="preserve">Weighted anchor kits. 40 lbs per leg. The difference between a booth and a lawsuit.</t>
  </si>
  <si>
    <t xml:space="preserve">Weighted anchor kits. 40 lbs per leg. The difference between a booth and a lawsuit.
Most outdoor booth failures aren't frame failures — they're anchor failures. We ship weighted kits that match the frame spec, so a gust doesn't turn your canopy into a sail.
Spec'd with every outdoor order. Sold separately for existing kits.
Shop anchors → promongrow.com · (844) 883-3308</t>
  </si>
  <si>
    <t xml:space="preserve">#PromoAndGrow #OutdoorEvent #TentSafety #EventSafety #FestivalBooth #CustomTent #MadeInUSA #EventOps</t>
  </si>
  <si>
    <t xml:space="preserve">Photo of an anchor kit in place on a real outdoor booth. Close-up on the weight + strap. Match Month 1 product-hero treatment.</t>
  </si>
  <si>
    <t xml:space="preserve">2026-06-05</t>
  </si>
  <si>
    <t xml:space="preserve">Festival Booth Playbook — the 10x20 summer kit breakdown</t>
  </si>
  <si>
    <t xml:space="preserve">The 10x20 Festival Kit: 4 layers, 3 cities, 1 proof cycle.</t>
  </si>
  <si>
    <t xml:space="preserve">The 10x20 Festival Kit: 4 layers, 3 cities, 1 proof cycle.
We build ~40 summer festival kits every year. The stack that works is always the same — and the order marketing teams regret not ordering is always the same too.
Swipe → the 10x20 Festival Kit playbook: the 4 layers in spec order, the real cost breakdown vs. ordering piece-by-piece, and the 5-day production timeline that gets you on the road before Memorial Day weekend traffic.
Spec yours → promongrow.com · (844) 883-3308</t>
  </si>
  <si>
    <t xml:space="preserve">#PromoAndGrow #FestivalBooth #SummerTour #10x20Tent #BoothKit #CustomTent #EventProduction #MadeInUSA</t>
  </si>
  <si>
    <t xml:space="preserve">9 slides. Slide 2 = the 4-layer diagram. Slide 3-6 = each layer detail. Slide 7 = pricing comparison. Slide 8 = timeline. Slide 9 = CTA.</t>
  </si>
  <si>
    <t xml:space="preserve">2026-06-08</t>
  </si>
  <si>
    <t xml:space="preserve">W4 (B)</t>
  </si>
  <si>
    <t xml:space="preserve">Pre-Show Checklist — Outdoor Festival Edition (extends Framework #3)</t>
  </si>
  <si>
    <t xml:space="preserve">Outdoor festivals have a different pre-show checklist than trade shows. Most teams don't know the difference.</t>
  </si>
  <si>
    <t xml:space="preserve">Outdoor festivals have a different pre-show checklist than trade shows. Most teams don't know the difference.
Indoor shows are about file deadlines and badge pickups. Outdoor festivals are about ground conditions, power access, weather contingencies, and the city-specific setup permits most brands forget to pull until Thursday.
Swipe → the Outdoor Festival Pre-Show Checklist: 10 items we run through with every outdoor client, the 48-hour weather check window, and the backup kit list we recommend for every multi-city tour.
Save this and send it to your tour lead. promongrow.com</t>
  </si>
  <si>
    <t xml:space="preserve">#PromoAndGrow #FestivalSeason #OutdoorEvent #EventOps #MarketingOps #BoothChecklist #FieldMarketing #EventPlanning</t>
  </si>
  <si>
    <t xml:space="preserve">Trade Show Playbook Carousel</t>
  </si>
  <si>
    <t xml:space="preserve">9 slides, numbered timeline. Emphasize outdoor-specific items (permits, power, anchors, weather).</t>
  </si>
  <si>
    <t xml:space="preserve">2026-06-09</t>
  </si>
  <si>
    <t xml:space="preserve">Review post G — 5★ festival tour recap</t>
  </si>
  <si>
    <t xml:space="preserve">★★★★★ "Third city, third setup, no surprises. This is what reliable vendor looks like."</t>
  </si>
  <si>
    <t xml:space="preserve">★★★★★ from [Client] mid-way through a 5-city summer tour on PNG gear.
Third setup in 10 days. Same kit on the truck, same print fidelity on the 4th weekend as the 1st. They left the review from their phone between load-in and doors.
That's what 20+ years of production discipline buys you.
Spec your tour kit → promongrow.com · (844) 883-3308</t>
  </si>
  <si>
    <t xml:space="preserve">#PromoAndGrow #5StarReview #SummerTour #FestivalSeason #ClientResults #TradeShowBooth #MadeInUSA</t>
  </si>
  <si>
    <t xml:space="preserve">Review Carousel (Template B)</t>
  </si>
  <si>
    <t xml:space="preserve">3-slide carousel: stars+quote, tour-route map graphic or client event photo, CTA slide.</t>
  </si>
  <si>
    <t xml:space="preserve">2026-06-10</t>
  </si>
  <si>
    <t xml:space="preserve">Promo</t>
  </si>
  <si>
    <t xml:space="preserve">Single (Offer)</t>
  </si>
  <si>
    <t xml:space="preserve">Summer Festival Tour promo — 10% off 10x10/10x20 kits (launch)</t>
  </si>
  <si>
    <t xml:space="preserve">Summer Festival Tour prep: 10% off every 10x10 and 10x20 kit booked by June 14.</t>
  </si>
  <si>
    <t xml:space="preserve">Summer Festival Tour prep: 10% off every 10x10 and 10x20 kit booked by June 14. Shipping before July 4.
Canopy + backdrop + table throw + banners. Proofed by a human, made in Lynwood, on your truck in 5 business days.
Use code TOUR10 at checkout or call for a custom quote.
promongrow.com · (844) 883-3308</t>
  </si>
  <si>
    <t xml:space="preserve">#PromoAndGrow #SummerTour #FestivalBooth #10PercentOff #CustomTent #10x20Tent #MadeInUSA #EventSeason</t>
  </si>
  <si>
    <t xml:space="preserve">Offer Single</t>
  </si>
  <si>
    <t xml:space="preserve">Copper CTA bar with TOUR10 code. 'Book by June 14 / Ship by July 4' dateline. Trust-stat row across bottom.</t>
  </si>
  <si>
    <t xml:space="preserve">2026-06-11</t>
  </si>
  <si>
    <t xml:space="preserve">Product hero — full festival bundle (ties to promo)</t>
  </si>
  <si>
    <t xml:space="preserve">Full festival bundle. One order. One proof. 5-day ship.</t>
  </si>
  <si>
    <t xml:space="preserve">Full festival bundle. One order. One proof. 5-day ship.
10x20 canopy + tension backdrop + 4 feather flags + 2 table throws + weighted anchor kit. Every piece color-matched. Every piece proofed before production.
TOUR10 code live through June 14. Then it's standard pricing.
Build your bundle → promongrow.com</t>
  </si>
  <si>
    <t xml:space="preserve">#PromoAndGrow #EventBundle #FestivalBooth #SummerTour #10x20Tent #BoothKit #MadeInUSA #CustomDisplays</t>
  </si>
  <si>
    <t xml:space="preserve">4-slide carousel: hero bundle shot (all pieces laid out), piece-by-piece breakdown, savings math, CTA with TOUR10 code.</t>
  </si>
  <si>
    <t xml:space="preserve">2026-06-12</t>
  </si>
  <si>
    <t xml:space="preserve">Single (Offer reminder)</t>
  </si>
  <si>
    <t xml:space="preserve">Tour promo reminder — 48 hours left on TOUR10</t>
  </si>
  <si>
    <t xml:space="preserve">48 hours left on TOUR10. Last call for July 4-ready booth kits.</t>
  </si>
  <si>
    <t xml:space="preserve">48 hours left on TOUR10 — our Summer Festival Tour prep offer closes Sunday, June 14.
10% off every 10x10 and 10x20 kit. Proof in 24 hours. Kit on the truck in 5 business days. On your venue floor before July 4 traffic.
Don't have a file ready? Send us a brand deck — our team will spec the booth and build a proof.
promongrow.com · (844) 883-3308</t>
  </si>
  <si>
    <t xml:space="preserve">#PromoAndGrow #SummerTour #LastCall #FestivalBooth #CustomTent #10PercentOff #MadeInUSA #EventSeason</t>
  </si>
  <si>
    <t xml:space="preserve">Copper countdown band '48 hours left'. Same TOUR10 code. Add urgency with a calendar/clock graphic.</t>
  </si>
  <si>
    <t xml:space="preserve">Framework</t>
  </si>
  <si>
    <t xml:space="preserve">Framework #7 — The Fabric Refresh Playbook (Mon May 18)</t>
  </si>
  <si>
    <t xml:space="preserve">Slide #</t>
  </si>
  <si>
    <t xml:space="preserve">Slide Type</t>
  </si>
  <si>
    <t xml:space="preserve">Headline / Hook</t>
  </si>
  <si>
    <t xml:space="preserve">Body Copy / Notes</t>
  </si>
  <si>
    <t xml:space="preserve">Hook (Navy bg / Copper accent)</t>
  </si>
  <si>
    <t xml:space="preserve">DM Serif Display 48pt. Subtext: 'A refresh framework from 20 years on the production floor.'</t>
  </si>
  <si>
    <t xml:space="preserve">Body — setup</t>
  </si>
  <si>
    <t xml:space="preserve">Dye-sub fabric life cycle</t>
  </si>
  <si>
    <t xml:space="preserve">Visual: a bar graph showing fabric life at 1/2/3/4 years across 'color', 'seam integrity', 'wrinkle memory'. Copper accents.</t>
  </si>
  <si>
    <t xml:space="preserve">Body — Tell #1</t>
  </si>
  <si>
    <t xml:space="preserve">Tell #1: Color has lost depth</t>
  </si>
  <si>
    <t xml:space="preserve">Compare a fresh fabric sample to a 3-year fabric sample. The copper reds drift to salmon. The navys drift to slate. Sun exposure is the culprit.</t>
  </si>
  <si>
    <t xml:space="preserve">Body — Tell #2</t>
  </si>
  <si>
    <t xml:space="preserve">Tell #2: Seams show wear</t>
  </si>
  <si>
    <t xml:space="preserve">Close-up: frayed seams, loose stitch lines. This is a travel-and-teardown symptom. Repairable on some kits, not others.</t>
  </si>
  <si>
    <t xml:space="preserve">Body — Tell #3</t>
  </si>
  <si>
    <t xml:space="preserve">Tell #3: Wrinkles won't release</t>
  </si>
  <si>
    <t xml:space="preserve">Tension fabric should drop wrinkles within 10 minutes of setup. If they're holding past the first hour, the fabric memory is gone.</t>
  </si>
  <si>
    <t xml:space="preserve">Body — Tell #4</t>
  </si>
  <si>
    <t xml:space="preserve">Tell #4: The brand has changed</t>
  </si>
  <si>
    <t xml:space="preserve">Obvious but missed. New color palette, new logo, new message — the graphic is technically fine but strategically dead.</t>
  </si>
  <si>
    <t xml:space="preserve">Body — Inspection</t>
  </si>
  <si>
    <t xml:space="preserve">The 2-minute in-booth inspection</t>
  </si>
  <si>
    <t xml:space="preserve">Checklist graphic: Color check (hold sample), Seam check (run finger along edges), Wrinkle check (10-min drop), Brand check (vs. current deck).</t>
  </si>
  <si>
    <t xml:space="preserve">Body — Refresh path</t>
  </si>
  <si>
    <t xml:space="preserve">The 5-day refresh path</t>
  </si>
  <si>
    <t xml:space="preserve">Timeline: Day 1 submit files (or we re-spec from original). Day 2 proof approved. Day 3-4 production. Day 5 ship. Arrives before your next show.</t>
  </si>
  <si>
    <t xml:space="preserve">Payoff</t>
  </si>
  <si>
    <t xml:space="preserve">Don't wait for the next tour to find out</t>
  </si>
  <si>
    <t xml:space="preserve">One-line payoff slide. Subtext: 'The inspection takes 2 minutes. The refresh takes 5 days.'</t>
  </si>
  <si>
    <t xml:space="preserve">CTA (Navy bg)</t>
  </si>
  <si>
    <t xml:space="preserve">Time for a refresh? We'll proof it in 24 hours.</t>
  </si>
  <si>
    <t xml:space="preserve">Copper button: 'Start a refresh quote — promongrow.com'. Phone: (844) 883-3308.</t>
  </si>
  <si>
    <t xml:space="preserve">Framework #8 — The 48-Hour Booth Recovery Playbook (Fri May 22)</t>
  </si>
  <si>
    <t xml:space="preserve">DM Serif Display 48pt. Subtext: 'From 20+ years of rush-print phone calls.'</t>
  </si>
  <si>
    <t xml:space="preserve">Body — context</t>
  </si>
  <si>
    <t xml:space="preserve">The 3 damage categories we handle on rush</t>
  </si>
  <si>
    <t xml:space="preserve">Visual: three icons — frame damage, graphic damage, missing-piece. Copper accents on headers.</t>
  </si>
  <si>
    <t xml:space="preserve">Body — Cat 1: Frame</t>
  </si>
  <si>
    <t xml:space="preserve">Frame damage: bent pole or broken hinge</t>
  </si>
  <si>
    <t xml:space="preserve">Usually salvageable with a part swap. If the canopy print is intact, we ship a replacement frame — same-day out the door in most cases. 1-day delivery available regionally.</t>
  </si>
  <si>
    <t xml:space="preserve">Body — Cat 2: Graphic</t>
  </si>
  <si>
    <t xml:space="preserve">Graphic damage: torn, stained, or faded</t>
  </si>
  <si>
    <t xml:space="preserve">The most common rush. We reprint from your original file or re-spec from photos. 48-hour turn if the proof is approved same day. Dye-sub holds up — but a gash in fabric is still a gash.</t>
  </si>
  <si>
    <t xml:space="preserve">Body — Cat 3: Missing</t>
  </si>
  <si>
    <t xml:space="preserve">Missing piece: lost or left behind</t>
  </si>
  <si>
    <t xml:space="preserve">Shipping crates get separated. Carpets get forgotten. We keep base specs for every repeat client on file — in most cases, we can reproduce a standard piece in 48 hours.</t>
  </si>
  <si>
    <t xml:space="preserve">Body — Info</t>
  </si>
  <si>
    <t xml:space="preserve">What we need from you to start</t>
  </si>
  <si>
    <t xml:space="preserve">5-item checklist: (1) photos of the damage, (2) original order number or file, (3) show date + venue address, (4) carrier preference, (5) proof-approval contact phone.</t>
  </si>
  <si>
    <t xml:space="preserve">Body — Shipping</t>
  </si>
  <si>
    <t xml:space="preserve">Ship to the venue, not your warehouse</t>
  </si>
  <si>
    <t xml:space="preserve">The math: shipping to a venue docks a day off transit. We have a venue-shipping template — we'll handle the routing. Your show-ops contact just needs to be expecting it.</t>
  </si>
  <si>
    <t xml:space="preserve">Body — Payoff</t>
  </si>
  <si>
    <t xml:space="preserve">Rush doesn't mean compromised</t>
  </si>
  <si>
    <t xml:space="preserve">Every rush order still goes through a proof cycle. Every rush print still comes off the same dye-sub line as a 5-day order. You just get fewer revision rounds.</t>
  </si>
  <si>
    <t xml:space="preserve">Save this number. Call us when it happens.</t>
  </si>
  <si>
    <t xml:space="preserve">Copper button LARGE: '(844) 883-3308'. Subtext: 'promongrow.com/rush'.</t>
  </si>
  <si>
    <t xml:space="preserve">Brand Presence Stack — Outdoor Edition (Tue May 26)</t>
  </si>
  <si>
    <t xml:space="preserve">DM Serif Display 48pt. Subtext: 'Framework #2, outdoor edition.'</t>
  </si>
  <si>
    <t xml:space="preserve">Body — reminder</t>
  </si>
  <si>
    <t xml:space="preserve">The 4-layer stack, revisited</t>
  </si>
  <si>
    <t xml:space="preserve">Visual: stacked diagram — Canopy (visibility), Backdrop (on-camera), Floor (conversion), Wearables (trust).</t>
  </si>
  <si>
    <t xml:space="preserve">Body — Layer 1</t>
  </si>
  <si>
    <t xml:space="preserve">Canopy outdoor: sun + wind</t>
  </si>
  <si>
    <t xml:space="preserve">Indoors, canopy = ceiling branding. Outdoors, canopy = shade + wind load. Frame weight doubles in importance. Vertical flags extend sightline beyond the canopy footprint.</t>
  </si>
  <si>
    <t xml:space="preserve">Body — Layer 2</t>
  </si>
  <si>
    <t xml:space="preserve">Backdrop outdoor: contrast collapses</t>
  </si>
  <si>
    <t xml:space="preserve">Sunlight flattens mid-tones. Backdrops that pop indoors look ghostly outdoors. Push contrast, deepen brand colors, avoid pastels — full File Prep Outdoor guide coming June 1.</t>
  </si>
  <si>
    <t xml:space="preserve">Body — Layer 3</t>
  </si>
  <si>
    <t xml:space="preserve">Floor outdoor: anchoring + ground</t>
  </si>
  <si>
    <t xml:space="preserve">Grass, dirt, asphalt — each needs a different anchor system. Floor banners become less useful; weighted perimeter and feather flags become critical.</t>
  </si>
  <si>
    <t xml:space="preserve">Body — Layer 4</t>
  </si>
  <si>
    <t xml:space="preserve">Wearables outdoor: heat + branding</t>
  </si>
  <si>
    <t xml:space="preserve">Cotton polos die by noon. Branded caps, performance tees, and shade umbrellas carry more weight than indoor wearables. Factor merch into the stack spec.</t>
  </si>
  <si>
    <t xml:space="preserve">Body — Math</t>
  </si>
  <si>
    <t xml:space="preserve">Wind + anchor math</t>
  </si>
  <si>
    <t xml:space="preserve">Formula: (canopy sq ft × wind MPH factor) = anchor weight minimum. We ship spec sheets with every outdoor order.</t>
  </si>
  <si>
    <t xml:space="preserve">Body — Scorecard</t>
  </si>
  <si>
    <t xml:space="preserve">Your outdoor stack scorecard</t>
  </si>
  <si>
    <t xml:space="preserve">4-row scorecard graphic: rate each layer 1-5. Any 3 or below = refresh priority.</t>
  </si>
  <si>
    <t xml:space="preserve">We spec the full outdoor stack in 5 days.</t>
  </si>
  <si>
    <t xml:space="preserve">Copper button: 'Spec your tour kit — promongrow.com'. Phone: (844) 883-3308.</t>
  </si>
  <si>
    <t xml:space="preserve">File Prep for Outdoor Print (Mon Jun 1)</t>
  </si>
  <si>
    <t xml:space="preserve">DM Serif Display 48pt. Subtext: 'Framework #5, outdoor edition.'</t>
  </si>
  <si>
    <t xml:space="preserve">Body — problem</t>
  </si>
  <si>
    <t xml:space="preserve">Why sunlight breaks your file</t>
  </si>
  <si>
    <t xml:space="preserve">Sun flattens mid-tones. Pastels ghost. Fine type vanishes at 20ft. Visual: side-by-side of the same file indoor vs. outdoor.</t>
  </si>
  <si>
    <t xml:space="preserve">Body — Tweak #1</t>
  </si>
  <si>
    <t xml:space="preserve">Tweak #1: Deepen brand colors by ~15%</t>
  </si>
  <si>
    <t xml:space="preserve">CMYK shift guide: take your brand hex to its darker step. Example before/after swatches in copper + navy.</t>
  </si>
  <si>
    <t xml:space="preserve">Body — Tweak #2</t>
  </si>
  <si>
    <t xml:space="preserve">Tweak #2: Kill mid-tone gradients</t>
  </si>
  <si>
    <t xml:space="preserve">Gradients wash out in sun. Replace with solid blocks. Visual: a hero image with and without gradient overlay.</t>
  </si>
  <si>
    <t xml:space="preserve">Body — Tweak #3</t>
  </si>
  <si>
    <t xml:space="preserve">Tweak #3: Upscale type size by ~30%</t>
  </si>
  <si>
    <t xml:space="preserve">Outdoor read distance is longer. A 60pt indoor header should be 80pt outdoor. Visual: scale chart at 10ft / 20ft / 30ft.</t>
  </si>
  <si>
    <t xml:space="preserve">Body — Tweak #4</t>
  </si>
  <si>
    <t xml:space="preserve">Tweak #4: Outline your type</t>
  </si>
  <si>
    <t xml:space="preserve">On-camera + sun: outlined type reads 40% clearer than plain. Thin copper outline on navy does the work.</t>
  </si>
  <si>
    <t xml:space="preserve">Body — Tweak #5</t>
  </si>
  <si>
    <t xml:space="preserve">Tweak #5: Test under sun lamp / phone flashlight</t>
  </si>
  <si>
    <t xml:space="preserve">Simple home test: shine phone light on print mockup. If it washes, your file will wash outdoors.</t>
  </si>
  <si>
    <t xml:space="preserve">Body — Canva</t>
  </si>
  <si>
    <t xml:space="preserve">Free Canva template — outdoor-ready</t>
  </si>
  <si>
    <t xml:space="preserve">Link in bio. 10x10 and 10x20 outdoor-print templates with the 5 tweaks baked in. DM Serif Display + DM Sans.</t>
  </si>
  <si>
    <t xml:space="preserve">Send your file. We'll proof it outdoor-ready.</t>
  </si>
  <si>
    <t xml:space="preserve">Copper button: 'Proof your file — promongrow.com'. Phone: (844) 883-3308.</t>
  </si>
  <si>
    <t xml:space="preserve">Festival Booth Playbook — 10x20 Summer Kit (Fri Jun 5)</t>
  </si>
  <si>
    <t xml:space="preserve">DM Serif Display 48pt. Subtext: '~40 summer kits a year. Here's what works.'</t>
  </si>
  <si>
    <t xml:space="preserve">Body — stack</t>
  </si>
  <si>
    <t xml:space="preserve">The 4 layers, outdoor-scaled</t>
  </si>
  <si>
    <t xml:space="preserve">Visual: 10x20 top-down floorplan with 4 layer callouts. Copper numerals, navy labels.</t>
  </si>
  <si>
    <t xml:space="preserve">Body — Canopy</t>
  </si>
  <si>
    <t xml:space="preserve">Layer 1: 10x20 canopy + weighted anchors</t>
  </si>
  <si>
    <t xml:space="preserve">200 sq ft of brand visibility. 40 lbs per leg minimum for typical festival wind. Dye-sub full print.</t>
  </si>
  <si>
    <t xml:space="preserve">Body — Backdrop</t>
  </si>
  <si>
    <t xml:space="preserve">Layer 2: tension-fabric backdrop + feather flags</t>
  </si>
  <si>
    <t xml:space="preserve">Backdrop for the on-camera moment. 4 feather flags on the perimeter for above-crowd sightline.</t>
  </si>
  <si>
    <t xml:space="preserve">Body — Floor</t>
  </si>
  <si>
    <t xml:space="preserve">Layer 3: branded table throws + anchor system</t>
  </si>
  <si>
    <t xml:space="preserve">2 table throws for demo / lead capture zones. Anchor system pre-specced for the venue type.</t>
  </si>
  <si>
    <t xml:space="preserve">Body — Wearables</t>
  </si>
  <si>
    <t xml:space="preserve">Layer 4: branded caps + tour staff kit</t>
  </si>
  <si>
    <t xml:space="preserve">Performance polos, caps, lanyards. Factor into the kit or get blindsided by heat.</t>
  </si>
  <si>
    <t xml:space="preserve">Body — Cost</t>
  </si>
  <si>
    <t xml:space="preserve">Piece-by-piece vs. bundle pricing</t>
  </si>
  <si>
    <t xml:space="preserve">Bundle saves 15%+ vs. ordering individually. Table comparison: bundle price, individual piece sum, difference.</t>
  </si>
  <si>
    <t xml:space="preserve">Body — Timeline</t>
  </si>
  <si>
    <t xml:space="preserve">5-day production timeline</t>
  </si>
  <si>
    <t xml:space="preserve">Day 1 files in. Day 2 proof. Day 3-4 production. Day 5 ship. On your truck before Memorial Day weekend traffic.</t>
  </si>
  <si>
    <t xml:space="preserve">Spec your 10x20 tour kit in 5 days.</t>
  </si>
  <si>
    <t xml:space="preserve">Copper button: 'Start a bundle quote — promongrow.com'. Phone: (844) 883-3308.</t>
  </si>
  <si>
    <t xml:space="preserve">Pre-Show Checklist — Outdoor Festival Edition (Mon Jun 8)</t>
  </si>
  <si>
    <t xml:space="preserve">DM Serif Display 48pt. Subtext: 'Framework #3, outdoor edition.'</t>
  </si>
  <si>
    <t xml:space="preserve">Body — intro</t>
  </si>
  <si>
    <t xml:space="preserve">The 10-item outdoor pre-show checklist</t>
  </si>
  <si>
    <t xml:space="preserve">Numbered list graphic. Each item gets its own slide 3-7 grouping.</t>
  </si>
  <si>
    <t xml:space="preserve">Body — Permit</t>
  </si>
  <si>
    <t xml:space="preserve">Item 1-2: Permits + ground conditions</t>
  </si>
  <si>
    <t xml:space="preserve">City permit lead times vary 2-6 weeks. Ground type (grass, asphalt, dirt) drives anchor spec. Don't assume either.</t>
  </si>
  <si>
    <t xml:space="preserve">Body — Power</t>
  </si>
  <si>
    <t xml:space="preserve">Item 3-4: Power access + lighting contingency</t>
  </si>
  <si>
    <t xml:space="preserve">Outdoor venues rarely have free power. Generator or battery spec. If it runs past sunset, lighting plan.</t>
  </si>
  <si>
    <t xml:space="preserve">Body — Weather</t>
  </si>
  <si>
    <t xml:space="preserve">Item 5-6: 48-hr weather check + contingency kit</t>
  </si>
  <si>
    <t xml:space="preserve">Check forecast 48 hrs out. Pack: spare stakes, tarps, weatherproof signage. Rain plan and heat plan both needed.</t>
  </si>
  <si>
    <t xml:space="preserve">Body — Crew</t>
  </si>
  <si>
    <t xml:space="preserve">Item 7-8: Crew call time + load-in route</t>
  </si>
  <si>
    <t xml:space="preserve">Outdoor load-in is harder than indoor. Build in 30% more time. Pre-scout the load-in path with the venue team.</t>
  </si>
  <si>
    <t xml:space="preserve">Body — Backup</t>
  </si>
  <si>
    <t xml:space="preserve">Item 9-10: Backup kit + rush number</t>
  </si>
  <si>
    <t xml:space="preserve">Spare graphic, spare anchors, extra table throw. PNG rush number saved in phone: (844) 883-3308.</t>
  </si>
  <si>
    <t xml:space="preserve">The 2-week outdoor countdown</t>
  </si>
  <si>
    <t xml:space="preserve">Week -2: files approved, permits confirmed. Week -1: kit arrives, contingency packed. Show week: weather check + final crew call.</t>
  </si>
  <si>
    <t xml:space="preserve">Save this. Send it to your tour lead.</t>
  </si>
  <si>
    <t xml:space="preserve">Copper button: 'Full playbook library — promongrow.com'. Phone: (844) 883-3308.</t>
  </si>
  <si>
    <t xml:space="preserve">Set Name</t>
  </si>
  <si>
    <t xml:space="preserve">Use Case</t>
  </si>
  <si>
    <t xml:space="preserve">Brand core (always)</t>
  </si>
  <si>
    <t xml:space="preserve">Every post</t>
  </si>
  <si>
    <t xml:space="preserve">#PromoAndGrow</t>
  </si>
  <si>
    <t xml:space="preserve">Product — Tent</t>
  </si>
  <si>
    <t xml:space="preserve">Any post featuring a tent</t>
  </si>
  <si>
    <t xml:space="preserve">#CustomTent #10x10Booth #10x20Tent #EventTent #BrandedTent</t>
  </si>
  <si>
    <t xml:space="preserve">Product — Backdrop</t>
  </si>
  <si>
    <t xml:space="preserve">Backdrop / back wall posts</t>
  </si>
  <si>
    <t xml:space="preserve">#CustomBackdrop #TensionFabric #EventBackdrop</t>
  </si>
  <si>
    <t xml:space="preserve">Product — Bundle</t>
  </si>
  <si>
    <t xml:space="preserve">Full-kit / bundle posts</t>
  </si>
  <si>
    <t xml:space="preserve">#EventBundle #BoothKit #CustomDisplays</t>
  </si>
  <si>
    <t xml:space="preserve">Product — Flags/Accessories</t>
  </si>
  <si>
    <t xml:space="preserve">Feather flags, anchors, accessories</t>
  </si>
  <si>
    <t xml:space="preserve">#FeatherFlag #CustomFlag #TentSafety</t>
  </si>
  <si>
    <t xml:space="preserve">Use case — Trade show</t>
  </si>
  <si>
    <t xml:space="preserve">Trade show + conference</t>
  </si>
  <si>
    <t xml:space="preserve">#TradeShowBooth #TradeShowTips #ConferenceBooth #EventMarketing</t>
  </si>
  <si>
    <t xml:space="preserve">Use case — Field/Activation</t>
  </si>
  <si>
    <t xml:space="preserve">Field marketing + activations</t>
  </si>
  <si>
    <t xml:space="preserve">#FieldMarketing #BrandActivation #EventBranding #BrandPresence</t>
  </si>
  <si>
    <t xml:space="preserve">Use case — Festival/Outdoor (M2)</t>
  </si>
  <si>
    <t xml:space="preserve">Summer tour + festival posts</t>
  </si>
  <si>
    <t xml:space="preserve">#FestivalBooth #FestivalSeason #OutdoorEvent #SummerTour #BrandOnTour</t>
  </si>
  <si>
    <t xml:space="preserve">Use case — Pop-up</t>
  </si>
  <si>
    <t xml:space="preserve">Retail pop-up + farmers market</t>
  </si>
  <si>
    <t xml:space="preserve">#PopUpShop #MobileBusiness #SmallBiz</t>
  </si>
  <si>
    <t xml:space="preserve">Audience — Marketer</t>
  </si>
  <si>
    <t xml:space="preserve">Marketing manager ICP</t>
  </si>
  <si>
    <t xml:space="preserve">#MarketingManager #MarketingOps #FieldMarketing #B2BMarketing</t>
  </si>
  <si>
    <t xml:space="preserve">Audience — Planner</t>
  </si>
  <si>
    <t xml:space="preserve">Event planner / agency</t>
  </si>
  <si>
    <t xml:space="preserve">#EventPlanner #EventPro #EventProduction</t>
  </si>
  <si>
    <t xml:space="preserve">Trust / locale</t>
  </si>
  <si>
    <t xml:space="preserve">Trust-signal posts</t>
  </si>
  <si>
    <t xml:space="preserve">#MadeInUSA #CustomPrinting #EventProduction #RushProduction</t>
  </si>
  <si>
    <t xml:space="preserve">Review / UGC</t>
  </si>
  <si>
    <t xml:space="preserve">Client results + review posts</t>
  </si>
  <si>
    <t xml:space="preserve">#ClientSpotlight #5StarReview #ClientResults #ClientLove #RepeatCustomer</t>
  </si>
  <si>
    <t xml:space="preserve">Seasonal (M2)</t>
  </si>
  <si>
    <t xml:space="preserve">May-June summer season push</t>
  </si>
  <si>
    <t xml:space="preserve">#EventSeason #SummerTour #FestivalSeason #OutdoorSeason</t>
  </si>
  <si>
    <t xml:space="preserve">Target %</t>
  </si>
  <si>
    <t xml:space="preserve">Target # Posts</t>
  </si>
  <si>
    <t xml:space="preserve">Actual Posts (this month)</t>
  </si>
  <si>
    <t xml:space="preserve">Variance</t>
  </si>
  <si>
    <t xml:space="preserve">TOTAL</t>
  </si>
  <si>
    <t xml:space="preserve">Monthly post target</t>
  </si>
</sst>
</file>

<file path=xl/styles.xml><?xml version="1.0" encoding="utf-8"?>
<styleSheet xmlns="http://schemas.openxmlformats.org/spreadsheetml/2006/main">
  <numFmts count="2">
    <numFmt numFmtId="164" formatCode="General"/>
    <numFmt numFmtId="165" formatCode="0%"/>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3"/>
      <color rgb="FF1B2838"/>
      <name val="Arial"/>
      <family val="0"/>
      <charset val="1"/>
    </font>
    <font>
      <b val="true"/>
      <sz val="10"/>
      <name val="Arial"/>
      <family val="0"/>
      <charset val="1"/>
    </font>
  </fonts>
  <fills count="8">
    <fill>
      <patternFill patternType="none"/>
    </fill>
    <fill>
      <patternFill patternType="gray125"/>
    </fill>
    <fill>
      <patternFill patternType="solid">
        <fgColor rgb="FF1B2838"/>
        <bgColor rgb="FF003366"/>
      </patternFill>
    </fill>
    <fill>
      <patternFill patternType="solid">
        <fgColor rgb="FFDCEAF5"/>
        <bgColor rgb="FFE5F0E5"/>
      </patternFill>
    </fill>
    <fill>
      <patternFill patternType="solid">
        <fgColor rgb="FFF5E8DC"/>
        <bgColor rgb="FFE8E2D8"/>
      </patternFill>
    </fill>
    <fill>
      <patternFill patternType="solid">
        <fgColor rgb="FFE5F0E5"/>
        <bgColor rgb="FFDCEAF5"/>
      </patternFill>
    </fill>
    <fill>
      <patternFill patternType="solid">
        <fgColor rgb="FFF5DCDC"/>
        <bgColor rgb="FFE8E2D8"/>
      </patternFill>
    </fill>
    <fill>
      <patternFill patternType="solid">
        <fgColor rgb="FFE8E2D8"/>
        <bgColor rgb="FFF5E8DC"/>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true" applyAlignment="true" applyProtection="false">
      <alignment horizontal="general"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5E8DC"/>
      <rgbColor rgb="FFDCEAF5"/>
      <rgbColor rgb="FF660066"/>
      <rgbColor rgb="FFFF8080"/>
      <rgbColor rgb="FF0066CC"/>
      <rgbColor rgb="FFE8E2D8"/>
      <rgbColor rgb="FF000080"/>
      <rgbColor rgb="FFFF00FF"/>
      <rgbColor rgb="FFFFFF00"/>
      <rgbColor rgb="FF00FFFF"/>
      <rgbColor rgb="FF800080"/>
      <rgbColor rgb="FF800000"/>
      <rgbColor rgb="FF008080"/>
      <rgbColor rgb="FF0000FF"/>
      <rgbColor rgb="FF00CCFF"/>
      <rgbColor rgb="FFCCFFFF"/>
      <rgbColor rgb="FFE5F0E5"/>
      <rgbColor rgb="FFFFFF99"/>
      <rgbColor rgb="FF99CCFF"/>
      <rgbColor rgb="FFFF99CC"/>
      <rgbColor rgb="FFCC99FF"/>
      <rgbColor rgb="FFF5DCD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28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6"/>
    <col collapsed="false" customWidth="true" hidden="false" outlineLevel="0" max="4" min="4" style="0" width="9"/>
    <col collapsed="false" customWidth="true" hidden="false" outlineLevel="0" max="5" min="5" style="0" width="11"/>
    <col collapsed="false" customWidth="true" hidden="false" outlineLevel="0" max="6" min="6" style="0" width="20"/>
    <col collapsed="false" customWidth="true" hidden="false" outlineLevel="0" max="7" min="7" style="0" width="38"/>
    <col collapsed="false" customWidth="true" hidden="false" outlineLevel="0" max="8" min="8" style="0" width="52"/>
    <col collapsed="false" customWidth="true" hidden="false" outlineLevel="0" max="9" min="9" style="0" width="70"/>
    <col collapsed="false" customWidth="true" hidden="false" outlineLevel="0" max="10" min="10" style="0" width="55"/>
    <col collapsed="false" customWidth="true" hidden="false" outlineLevel="0" max="11" min="11" style="0" width="26"/>
    <col collapsed="false" customWidth="true" hidden="false" outlineLevel="0" max="12" min="12" style="0" width="55"/>
    <col collapsed="false" customWidth="true" hidden="false" outlineLevel="0" max="13" min="13" style="0" width="9"/>
  </cols>
  <sheetData>
    <row r="1" customFormat="false" ht="36"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129.75" hidden="false" customHeight="true" outlineLevel="0" collapsed="false">
      <c r="A2" s="2" t="n">
        <v>1</v>
      </c>
      <c r="B2" s="2" t="s">
        <v>13</v>
      </c>
      <c r="C2" s="2" t="s">
        <v>14</v>
      </c>
      <c r="D2" s="2" t="s">
        <v>15</v>
      </c>
      <c r="E2" s="3" t="s">
        <v>16</v>
      </c>
      <c r="F2" s="2" t="s">
        <v>17</v>
      </c>
      <c r="G2" s="2" t="s">
        <v>18</v>
      </c>
      <c r="H2" s="2" t="s">
        <v>19</v>
      </c>
      <c r="I2" s="2" t="s">
        <v>20</v>
      </c>
      <c r="J2" s="2" t="s">
        <v>21</v>
      </c>
      <c r="K2" s="2" t="s">
        <v>22</v>
      </c>
      <c r="L2" s="2" t="s">
        <v>23</v>
      </c>
      <c r="M2" s="2" t="s">
        <v>24</v>
      </c>
    </row>
    <row r="3" customFormat="false" ht="129.75" hidden="false" customHeight="true" outlineLevel="0" collapsed="false">
      <c r="A3" s="2" t="n">
        <v>2</v>
      </c>
      <c r="B3" s="2" t="s">
        <v>25</v>
      </c>
      <c r="C3" s="2" t="s">
        <v>26</v>
      </c>
      <c r="D3" s="2" t="s">
        <v>15</v>
      </c>
      <c r="E3" s="4" t="s">
        <v>27</v>
      </c>
      <c r="F3" s="2" t="s">
        <v>28</v>
      </c>
      <c r="G3" s="2" t="s">
        <v>29</v>
      </c>
      <c r="H3" s="2" t="s">
        <v>30</v>
      </c>
      <c r="I3" s="2" t="s">
        <v>31</v>
      </c>
      <c r="J3" s="2" t="s">
        <v>32</v>
      </c>
      <c r="K3" s="2" t="s">
        <v>33</v>
      </c>
      <c r="L3" s="2" t="s">
        <v>34</v>
      </c>
      <c r="M3" s="2" t="s">
        <v>24</v>
      </c>
    </row>
    <row r="4" customFormat="false" ht="129.75" hidden="false" customHeight="true" outlineLevel="0" collapsed="false">
      <c r="A4" s="2" t="n">
        <v>3</v>
      </c>
      <c r="B4" s="2" t="s">
        <v>35</v>
      </c>
      <c r="C4" s="2" t="s">
        <v>36</v>
      </c>
      <c r="D4" s="2" t="s">
        <v>15</v>
      </c>
      <c r="E4" s="4" t="s">
        <v>27</v>
      </c>
      <c r="F4" s="2" t="s">
        <v>37</v>
      </c>
      <c r="G4" s="2" t="s">
        <v>38</v>
      </c>
      <c r="H4" s="2" t="s">
        <v>39</v>
      </c>
      <c r="I4" s="2" t="s">
        <v>40</v>
      </c>
      <c r="J4" s="2" t="s">
        <v>41</v>
      </c>
      <c r="K4" s="2" t="s">
        <v>42</v>
      </c>
      <c r="L4" s="2" t="s">
        <v>43</v>
      </c>
      <c r="M4" s="2" t="s">
        <v>24</v>
      </c>
    </row>
    <row r="5" customFormat="false" ht="129.75" hidden="false" customHeight="true" outlineLevel="0" collapsed="false">
      <c r="A5" s="2" t="n">
        <v>4</v>
      </c>
      <c r="B5" s="2" t="s">
        <v>44</v>
      </c>
      <c r="C5" s="2" t="s">
        <v>45</v>
      </c>
      <c r="D5" s="2" t="s">
        <v>15</v>
      </c>
      <c r="E5" s="5" t="s">
        <v>46</v>
      </c>
      <c r="F5" s="2" t="s">
        <v>47</v>
      </c>
      <c r="G5" s="2" t="s">
        <v>48</v>
      </c>
      <c r="H5" s="2" t="s">
        <v>49</v>
      </c>
      <c r="I5" s="2" t="s">
        <v>50</v>
      </c>
      <c r="J5" s="2" t="s">
        <v>51</v>
      </c>
      <c r="K5" s="2" t="s">
        <v>52</v>
      </c>
      <c r="L5" s="2" t="s">
        <v>53</v>
      </c>
      <c r="M5" s="2" t="s">
        <v>24</v>
      </c>
    </row>
    <row r="6" customFormat="false" ht="129.75" hidden="false" customHeight="true" outlineLevel="0" collapsed="false">
      <c r="A6" s="2" t="n">
        <v>5</v>
      </c>
      <c r="B6" s="2" t="s">
        <v>54</v>
      </c>
      <c r="C6" s="2" t="s">
        <v>55</v>
      </c>
      <c r="D6" s="2" t="s">
        <v>15</v>
      </c>
      <c r="E6" s="3" t="s">
        <v>16</v>
      </c>
      <c r="F6" s="2" t="s">
        <v>56</v>
      </c>
      <c r="G6" s="2" t="s">
        <v>57</v>
      </c>
      <c r="H6" s="2" t="s">
        <v>58</v>
      </c>
      <c r="I6" s="2" t="s">
        <v>59</v>
      </c>
      <c r="J6" s="2" t="s">
        <v>60</v>
      </c>
      <c r="K6" s="2" t="s">
        <v>22</v>
      </c>
      <c r="L6" s="2" t="s">
        <v>61</v>
      </c>
      <c r="M6" s="2" t="s">
        <v>24</v>
      </c>
    </row>
    <row r="7" customFormat="false" ht="129.75" hidden="false" customHeight="true" outlineLevel="0" collapsed="false">
      <c r="A7" s="2" t="n">
        <v>6</v>
      </c>
      <c r="B7" s="2" t="s">
        <v>62</v>
      </c>
      <c r="C7" s="2" t="s">
        <v>14</v>
      </c>
      <c r="D7" s="2" t="s">
        <v>63</v>
      </c>
      <c r="E7" s="5" t="s">
        <v>46</v>
      </c>
      <c r="F7" s="2" t="s">
        <v>28</v>
      </c>
      <c r="G7" s="2" t="s">
        <v>64</v>
      </c>
      <c r="H7" s="2" t="s">
        <v>65</v>
      </c>
      <c r="I7" s="2" t="s">
        <v>66</v>
      </c>
      <c r="J7" s="2" t="s">
        <v>67</v>
      </c>
      <c r="K7" s="2" t="s">
        <v>68</v>
      </c>
      <c r="L7" s="2" t="s">
        <v>69</v>
      </c>
      <c r="M7" s="2" t="s">
        <v>24</v>
      </c>
    </row>
    <row r="8" customFormat="false" ht="129.75" hidden="false" customHeight="true" outlineLevel="0" collapsed="false">
      <c r="A8" s="2" t="n">
        <v>7</v>
      </c>
      <c r="B8" s="2" t="s">
        <v>70</v>
      </c>
      <c r="C8" s="2" t="s">
        <v>26</v>
      </c>
      <c r="D8" s="2" t="s">
        <v>63</v>
      </c>
      <c r="E8" s="3" t="s">
        <v>16</v>
      </c>
      <c r="F8" s="2" t="s">
        <v>56</v>
      </c>
      <c r="G8" s="2" t="s">
        <v>71</v>
      </c>
      <c r="H8" s="2" t="s">
        <v>72</v>
      </c>
      <c r="I8" s="2" t="s">
        <v>73</v>
      </c>
      <c r="J8" s="2" t="s">
        <v>74</v>
      </c>
      <c r="K8" s="2" t="s">
        <v>22</v>
      </c>
      <c r="L8" s="2" t="s">
        <v>75</v>
      </c>
      <c r="M8" s="2" t="s">
        <v>24</v>
      </c>
    </row>
    <row r="9" customFormat="false" ht="129.75" hidden="false" customHeight="true" outlineLevel="0" collapsed="false">
      <c r="A9" s="2" t="n">
        <v>8</v>
      </c>
      <c r="B9" s="2" t="s">
        <v>76</v>
      </c>
      <c r="C9" s="2" t="s">
        <v>36</v>
      </c>
      <c r="D9" s="2" t="s">
        <v>63</v>
      </c>
      <c r="E9" s="4" t="s">
        <v>27</v>
      </c>
      <c r="F9" s="2" t="s">
        <v>77</v>
      </c>
      <c r="G9" s="2" t="s">
        <v>78</v>
      </c>
      <c r="H9" s="2" t="s">
        <v>79</v>
      </c>
      <c r="I9" s="2" t="s">
        <v>80</v>
      </c>
      <c r="J9" s="2" t="s">
        <v>81</v>
      </c>
      <c r="K9" s="2" t="s">
        <v>42</v>
      </c>
      <c r="L9" s="2" t="s">
        <v>82</v>
      </c>
      <c r="M9" s="2" t="s">
        <v>24</v>
      </c>
    </row>
    <row r="10" customFormat="false" ht="129.75" hidden="false" customHeight="true" outlineLevel="0" collapsed="false">
      <c r="A10" s="2" t="n">
        <v>9</v>
      </c>
      <c r="B10" s="2" t="s">
        <v>83</v>
      </c>
      <c r="C10" s="2" t="s">
        <v>45</v>
      </c>
      <c r="D10" s="2" t="s">
        <v>63</v>
      </c>
      <c r="E10" s="5" t="s">
        <v>46</v>
      </c>
      <c r="F10" s="2" t="s">
        <v>47</v>
      </c>
      <c r="G10" s="2" t="s">
        <v>84</v>
      </c>
      <c r="H10" s="2" t="s">
        <v>85</v>
      </c>
      <c r="I10" s="2" t="s">
        <v>86</v>
      </c>
      <c r="J10" s="2" t="s">
        <v>87</v>
      </c>
      <c r="K10" s="2" t="s">
        <v>52</v>
      </c>
      <c r="L10" s="2" t="s">
        <v>88</v>
      </c>
      <c r="M10" s="2" t="s">
        <v>24</v>
      </c>
    </row>
    <row r="11" customFormat="false" ht="129.75" hidden="false" customHeight="true" outlineLevel="0" collapsed="false">
      <c r="A11" s="2" t="n">
        <v>10</v>
      </c>
      <c r="B11" s="2" t="s">
        <v>89</v>
      </c>
      <c r="C11" s="2" t="s">
        <v>55</v>
      </c>
      <c r="D11" s="2" t="s">
        <v>63</v>
      </c>
      <c r="E11" s="3" t="s">
        <v>16</v>
      </c>
      <c r="F11" s="2" t="s">
        <v>77</v>
      </c>
      <c r="G11" s="2" t="s">
        <v>90</v>
      </c>
      <c r="H11" s="2" t="s">
        <v>91</v>
      </c>
      <c r="I11" s="2" t="s">
        <v>92</v>
      </c>
      <c r="J11" s="2" t="s">
        <v>93</v>
      </c>
      <c r="K11" s="2" t="s">
        <v>94</v>
      </c>
      <c r="L11" s="2" t="s">
        <v>95</v>
      </c>
      <c r="M11" s="2" t="s">
        <v>24</v>
      </c>
    </row>
    <row r="12" customFormat="false" ht="129.75" hidden="false" customHeight="true" outlineLevel="0" collapsed="false">
      <c r="A12" s="2" t="n">
        <v>11</v>
      </c>
      <c r="B12" s="2" t="s">
        <v>96</v>
      </c>
      <c r="C12" s="2" t="s">
        <v>14</v>
      </c>
      <c r="D12" s="2" t="s">
        <v>97</v>
      </c>
      <c r="E12" s="3" t="s">
        <v>16</v>
      </c>
      <c r="F12" s="2" t="s">
        <v>56</v>
      </c>
      <c r="G12" s="2" t="s">
        <v>98</v>
      </c>
      <c r="H12" s="2" t="s">
        <v>99</v>
      </c>
      <c r="I12" s="2" t="s">
        <v>100</v>
      </c>
      <c r="J12" s="2" t="s">
        <v>101</v>
      </c>
      <c r="K12" s="2" t="s">
        <v>102</v>
      </c>
      <c r="L12" s="2" t="s">
        <v>103</v>
      </c>
      <c r="M12" s="2" t="s">
        <v>24</v>
      </c>
    </row>
    <row r="13" customFormat="false" ht="129.75" hidden="false" customHeight="true" outlineLevel="0" collapsed="false">
      <c r="A13" s="2" t="n">
        <v>12</v>
      </c>
      <c r="B13" s="2" t="s">
        <v>104</v>
      </c>
      <c r="C13" s="2" t="s">
        <v>26</v>
      </c>
      <c r="D13" s="2" t="s">
        <v>97</v>
      </c>
      <c r="E13" s="4" t="s">
        <v>27</v>
      </c>
      <c r="F13" s="2" t="s">
        <v>28</v>
      </c>
      <c r="G13" s="2" t="s">
        <v>105</v>
      </c>
      <c r="H13" s="2" t="s">
        <v>106</v>
      </c>
      <c r="I13" s="2" t="s">
        <v>107</v>
      </c>
      <c r="J13" s="2" t="s">
        <v>108</v>
      </c>
      <c r="K13" s="2" t="s">
        <v>109</v>
      </c>
      <c r="L13" s="2" t="s">
        <v>110</v>
      </c>
      <c r="M13" s="2" t="s">
        <v>24</v>
      </c>
    </row>
    <row r="14" customFormat="false" ht="129.75" hidden="false" customHeight="true" outlineLevel="0" collapsed="false">
      <c r="A14" s="2" t="n">
        <v>13</v>
      </c>
      <c r="B14" s="2" t="s">
        <v>111</v>
      </c>
      <c r="C14" s="2" t="s">
        <v>36</v>
      </c>
      <c r="D14" s="2" t="s">
        <v>97</v>
      </c>
      <c r="E14" s="5" t="s">
        <v>46</v>
      </c>
      <c r="F14" s="2" t="s">
        <v>37</v>
      </c>
      <c r="G14" s="2" t="s">
        <v>112</v>
      </c>
      <c r="H14" s="2" t="s">
        <v>113</v>
      </c>
      <c r="I14" s="2" t="s">
        <v>114</v>
      </c>
      <c r="J14" s="2" t="s">
        <v>115</v>
      </c>
      <c r="K14" s="2" t="s">
        <v>42</v>
      </c>
      <c r="L14" s="2" t="s">
        <v>116</v>
      </c>
      <c r="M14" s="2" t="s">
        <v>24</v>
      </c>
    </row>
    <row r="15" customFormat="false" ht="129.75" hidden="false" customHeight="true" outlineLevel="0" collapsed="false">
      <c r="A15" s="2" t="n">
        <v>14</v>
      </c>
      <c r="B15" s="2" t="s">
        <v>117</v>
      </c>
      <c r="C15" s="2" t="s">
        <v>45</v>
      </c>
      <c r="D15" s="2" t="s">
        <v>97</v>
      </c>
      <c r="E15" s="4" t="s">
        <v>27</v>
      </c>
      <c r="F15" s="2" t="s">
        <v>28</v>
      </c>
      <c r="G15" s="2" t="s">
        <v>118</v>
      </c>
      <c r="H15" s="2" t="s">
        <v>119</v>
      </c>
      <c r="I15" s="2" t="s">
        <v>120</v>
      </c>
      <c r="J15" s="2" t="s">
        <v>121</v>
      </c>
      <c r="K15" s="2" t="s">
        <v>33</v>
      </c>
      <c r="L15" s="2" t="s">
        <v>122</v>
      </c>
      <c r="M15" s="2" t="s">
        <v>24</v>
      </c>
    </row>
    <row r="16" customFormat="false" ht="129.75" hidden="false" customHeight="true" outlineLevel="0" collapsed="false">
      <c r="A16" s="2" t="n">
        <v>15</v>
      </c>
      <c r="B16" s="2" t="s">
        <v>123</v>
      </c>
      <c r="C16" s="2" t="s">
        <v>55</v>
      </c>
      <c r="D16" s="2" t="s">
        <v>97</v>
      </c>
      <c r="E16" s="3" t="s">
        <v>16</v>
      </c>
      <c r="F16" s="2" t="s">
        <v>56</v>
      </c>
      <c r="G16" s="2" t="s">
        <v>124</v>
      </c>
      <c r="H16" s="2" t="s">
        <v>125</v>
      </c>
      <c r="I16" s="2" t="s">
        <v>126</v>
      </c>
      <c r="J16" s="2" t="s">
        <v>127</v>
      </c>
      <c r="K16" s="2" t="s">
        <v>22</v>
      </c>
      <c r="L16" s="2" t="s">
        <v>128</v>
      </c>
      <c r="M16" s="2" t="s">
        <v>24</v>
      </c>
    </row>
    <row r="17" customFormat="false" ht="129.75" hidden="false" customHeight="true" outlineLevel="0" collapsed="false">
      <c r="A17" s="2" t="n">
        <v>16</v>
      </c>
      <c r="B17" s="2" t="s">
        <v>129</v>
      </c>
      <c r="C17" s="2" t="s">
        <v>14</v>
      </c>
      <c r="D17" s="2" t="s">
        <v>130</v>
      </c>
      <c r="E17" s="3" t="s">
        <v>16</v>
      </c>
      <c r="F17" s="2" t="s">
        <v>56</v>
      </c>
      <c r="G17" s="2" t="s">
        <v>131</v>
      </c>
      <c r="H17" s="2" t="s">
        <v>132</v>
      </c>
      <c r="I17" s="2" t="s">
        <v>133</v>
      </c>
      <c r="J17" s="2" t="s">
        <v>134</v>
      </c>
      <c r="K17" s="2" t="s">
        <v>135</v>
      </c>
      <c r="L17" s="2" t="s">
        <v>136</v>
      </c>
      <c r="M17" s="2" t="s">
        <v>24</v>
      </c>
    </row>
    <row r="18" customFormat="false" ht="129.75" hidden="false" customHeight="true" outlineLevel="0" collapsed="false">
      <c r="A18" s="2" t="n">
        <v>17</v>
      </c>
      <c r="B18" s="2" t="s">
        <v>137</v>
      </c>
      <c r="C18" s="2" t="s">
        <v>26</v>
      </c>
      <c r="D18" s="2" t="s">
        <v>130</v>
      </c>
      <c r="E18" s="5" t="s">
        <v>46</v>
      </c>
      <c r="F18" s="2" t="s">
        <v>47</v>
      </c>
      <c r="G18" s="2" t="s">
        <v>138</v>
      </c>
      <c r="H18" s="2" t="s">
        <v>139</v>
      </c>
      <c r="I18" s="2" t="s">
        <v>140</v>
      </c>
      <c r="J18" s="2" t="s">
        <v>141</v>
      </c>
      <c r="K18" s="2" t="s">
        <v>142</v>
      </c>
      <c r="L18" s="2" t="s">
        <v>143</v>
      </c>
      <c r="M18" s="2" t="s">
        <v>24</v>
      </c>
    </row>
    <row r="19" customFormat="false" ht="129.75" hidden="false" customHeight="true" outlineLevel="0" collapsed="false">
      <c r="A19" s="2" t="n">
        <v>18</v>
      </c>
      <c r="B19" s="2" t="s">
        <v>144</v>
      </c>
      <c r="C19" s="2" t="s">
        <v>36</v>
      </c>
      <c r="D19" s="2" t="s">
        <v>130</v>
      </c>
      <c r="E19" s="6" t="s">
        <v>145</v>
      </c>
      <c r="F19" s="2" t="s">
        <v>146</v>
      </c>
      <c r="G19" s="2" t="s">
        <v>147</v>
      </c>
      <c r="H19" s="2" t="s">
        <v>148</v>
      </c>
      <c r="I19" s="2" t="s">
        <v>149</v>
      </c>
      <c r="J19" s="2" t="s">
        <v>150</v>
      </c>
      <c r="K19" s="2" t="s">
        <v>151</v>
      </c>
      <c r="L19" s="2" t="s">
        <v>152</v>
      </c>
      <c r="M19" s="2" t="s">
        <v>24</v>
      </c>
    </row>
    <row r="20" customFormat="false" ht="129.75" hidden="false" customHeight="true" outlineLevel="0" collapsed="false">
      <c r="A20" s="2" t="n">
        <v>19</v>
      </c>
      <c r="B20" s="2" t="s">
        <v>153</v>
      </c>
      <c r="C20" s="2" t="s">
        <v>45</v>
      </c>
      <c r="D20" s="2" t="s">
        <v>130</v>
      </c>
      <c r="E20" s="4" t="s">
        <v>27</v>
      </c>
      <c r="F20" s="2" t="s">
        <v>28</v>
      </c>
      <c r="G20" s="2" t="s">
        <v>154</v>
      </c>
      <c r="H20" s="2" t="s">
        <v>155</v>
      </c>
      <c r="I20" s="2" t="s">
        <v>156</v>
      </c>
      <c r="J20" s="2" t="s">
        <v>157</v>
      </c>
      <c r="K20" s="2" t="s">
        <v>109</v>
      </c>
      <c r="L20" s="2" t="s">
        <v>158</v>
      </c>
      <c r="M20" s="2" t="s">
        <v>24</v>
      </c>
    </row>
    <row r="21" customFormat="false" ht="129.75" hidden="false" customHeight="true" outlineLevel="0" collapsed="false">
      <c r="A21" s="2" t="n">
        <v>20</v>
      </c>
      <c r="B21" s="2" t="s">
        <v>159</v>
      </c>
      <c r="C21" s="2" t="s">
        <v>55</v>
      </c>
      <c r="D21" s="2" t="s">
        <v>130</v>
      </c>
      <c r="E21" s="6" t="s">
        <v>145</v>
      </c>
      <c r="F21" s="2" t="s">
        <v>160</v>
      </c>
      <c r="G21" s="2" t="s">
        <v>161</v>
      </c>
      <c r="H21" s="2" t="s">
        <v>162</v>
      </c>
      <c r="I21" s="2" t="s">
        <v>163</v>
      </c>
      <c r="J21" s="2" t="s">
        <v>164</v>
      </c>
      <c r="K21" s="2" t="s">
        <v>151</v>
      </c>
      <c r="L21" s="2" t="s">
        <v>165</v>
      </c>
      <c r="M21" s="2"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48"/>
    <col collapsed="false" customWidth="true" hidden="false" outlineLevel="0" max="4" min="4" style="0" width="72"/>
  </cols>
  <sheetData>
    <row r="1" customFormat="false" ht="15" hidden="false" customHeight="false" outlineLevel="0" collapsed="false">
      <c r="A1" s="7" t="s">
        <v>166</v>
      </c>
    </row>
    <row r="3" customFormat="false" ht="21.75" hidden="false" customHeight="true" outlineLevel="0" collapsed="false">
      <c r="A3" s="8" t="s">
        <v>167</v>
      </c>
      <c r="B3" s="8"/>
      <c r="C3" s="8"/>
      <c r="D3" s="8"/>
    </row>
    <row r="4" customFormat="false" ht="19.5" hidden="false" customHeight="true" outlineLevel="0" collapsed="false">
      <c r="A4" s="9" t="s">
        <v>168</v>
      </c>
      <c r="B4" s="9" t="s">
        <v>169</v>
      </c>
      <c r="C4" s="9" t="s">
        <v>170</v>
      </c>
      <c r="D4" s="9" t="s">
        <v>171</v>
      </c>
    </row>
    <row r="5" customFormat="false" ht="54.75" hidden="false" customHeight="true" outlineLevel="0" collapsed="false">
      <c r="A5" s="2" t="n">
        <v>1</v>
      </c>
      <c r="B5" s="2" t="s">
        <v>172</v>
      </c>
      <c r="C5" s="2" t="s">
        <v>19</v>
      </c>
      <c r="D5" s="2" t="s">
        <v>173</v>
      </c>
    </row>
    <row r="6" customFormat="false" ht="54.75" hidden="false" customHeight="true" outlineLevel="0" collapsed="false">
      <c r="A6" s="2" t="n">
        <v>2</v>
      </c>
      <c r="B6" s="2" t="s">
        <v>174</v>
      </c>
      <c r="C6" s="2" t="s">
        <v>175</v>
      </c>
      <c r="D6" s="2" t="s">
        <v>176</v>
      </c>
    </row>
    <row r="7" customFormat="false" ht="54.75" hidden="false" customHeight="true" outlineLevel="0" collapsed="false">
      <c r="A7" s="2" t="n">
        <v>3</v>
      </c>
      <c r="B7" s="2" t="s">
        <v>177</v>
      </c>
      <c r="C7" s="2" t="s">
        <v>178</v>
      </c>
      <c r="D7" s="2" t="s">
        <v>179</v>
      </c>
    </row>
    <row r="8" customFormat="false" ht="54.75" hidden="false" customHeight="true" outlineLevel="0" collapsed="false">
      <c r="A8" s="2" t="n">
        <v>4</v>
      </c>
      <c r="B8" s="2" t="s">
        <v>180</v>
      </c>
      <c r="C8" s="2" t="s">
        <v>181</v>
      </c>
      <c r="D8" s="2" t="s">
        <v>182</v>
      </c>
    </row>
    <row r="9" customFormat="false" ht="54.75" hidden="false" customHeight="true" outlineLevel="0" collapsed="false">
      <c r="A9" s="2" t="n">
        <v>5</v>
      </c>
      <c r="B9" s="2" t="s">
        <v>183</v>
      </c>
      <c r="C9" s="2" t="s">
        <v>184</v>
      </c>
      <c r="D9" s="2" t="s">
        <v>185</v>
      </c>
    </row>
    <row r="10" customFormat="false" ht="54.75" hidden="false" customHeight="true" outlineLevel="0" collapsed="false">
      <c r="A10" s="2" t="n">
        <v>6</v>
      </c>
      <c r="B10" s="2" t="s">
        <v>186</v>
      </c>
      <c r="C10" s="2" t="s">
        <v>187</v>
      </c>
      <c r="D10" s="2" t="s">
        <v>188</v>
      </c>
    </row>
    <row r="11" customFormat="false" ht="54.75" hidden="false" customHeight="true" outlineLevel="0" collapsed="false">
      <c r="A11" s="2" t="n">
        <v>7</v>
      </c>
      <c r="B11" s="2" t="s">
        <v>189</v>
      </c>
      <c r="C11" s="2" t="s">
        <v>190</v>
      </c>
      <c r="D11" s="2" t="s">
        <v>191</v>
      </c>
    </row>
    <row r="12" customFormat="false" ht="54.75" hidden="false" customHeight="true" outlineLevel="0" collapsed="false">
      <c r="A12" s="2" t="n">
        <v>8</v>
      </c>
      <c r="B12" s="2" t="s">
        <v>192</v>
      </c>
      <c r="C12" s="2" t="s">
        <v>193</v>
      </c>
      <c r="D12" s="2" t="s">
        <v>194</v>
      </c>
    </row>
    <row r="13" customFormat="false" ht="54.75" hidden="false" customHeight="true" outlineLevel="0" collapsed="false">
      <c r="A13" s="2" t="n">
        <v>9</v>
      </c>
      <c r="B13" s="2" t="s">
        <v>195</v>
      </c>
      <c r="C13" s="2" t="s">
        <v>196</v>
      </c>
      <c r="D13" s="2" t="s">
        <v>197</v>
      </c>
    </row>
    <row r="14" customFormat="false" ht="54.75" hidden="false" customHeight="true" outlineLevel="0" collapsed="false">
      <c r="A14" s="2" t="n">
        <v>10</v>
      </c>
      <c r="B14" s="2" t="s">
        <v>198</v>
      </c>
      <c r="C14" s="2" t="s">
        <v>199</v>
      </c>
      <c r="D14" s="2" t="s">
        <v>200</v>
      </c>
    </row>
    <row r="16" customFormat="false" ht="21.75" hidden="false" customHeight="true" outlineLevel="0" collapsed="false">
      <c r="A16" s="8" t="s">
        <v>201</v>
      </c>
      <c r="B16" s="8"/>
      <c r="C16" s="8"/>
      <c r="D16" s="8"/>
    </row>
    <row r="17" customFormat="false" ht="19.5" hidden="false" customHeight="true" outlineLevel="0" collapsed="false">
      <c r="A17" s="9" t="s">
        <v>168</v>
      </c>
      <c r="B17" s="9" t="s">
        <v>169</v>
      </c>
      <c r="C17" s="9" t="s">
        <v>170</v>
      </c>
      <c r="D17" s="9" t="s">
        <v>171</v>
      </c>
    </row>
    <row r="18" customFormat="false" ht="54.75" hidden="false" customHeight="true" outlineLevel="0" collapsed="false">
      <c r="A18" s="2" t="n">
        <v>1</v>
      </c>
      <c r="B18" s="2" t="s">
        <v>172</v>
      </c>
      <c r="C18" s="2" t="s">
        <v>58</v>
      </c>
      <c r="D18" s="2" t="s">
        <v>202</v>
      </c>
    </row>
    <row r="19" customFormat="false" ht="54.75" hidden="false" customHeight="true" outlineLevel="0" collapsed="false">
      <c r="A19" s="2" t="n">
        <v>2</v>
      </c>
      <c r="B19" s="2" t="s">
        <v>203</v>
      </c>
      <c r="C19" s="2" t="s">
        <v>204</v>
      </c>
      <c r="D19" s="2" t="s">
        <v>205</v>
      </c>
    </row>
    <row r="20" customFormat="false" ht="54.75" hidden="false" customHeight="true" outlineLevel="0" collapsed="false">
      <c r="A20" s="2" t="n">
        <v>3</v>
      </c>
      <c r="B20" s="2" t="s">
        <v>206</v>
      </c>
      <c r="C20" s="2" t="s">
        <v>207</v>
      </c>
      <c r="D20" s="2" t="s">
        <v>208</v>
      </c>
    </row>
    <row r="21" customFormat="false" ht="54.75" hidden="false" customHeight="true" outlineLevel="0" collapsed="false">
      <c r="A21" s="2" t="n">
        <v>4</v>
      </c>
      <c r="B21" s="2" t="s">
        <v>209</v>
      </c>
      <c r="C21" s="2" t="s">
        <v>210</v>
      </c>
      <c r="D21" s="2" t="s">
        <v>211</v>
      </c>
    </row>
    <row r="22" customFormat="false" ht="54.75" hidden="false" customHeight="true" outlineLevel="0" collapsed="false">
      <c r="A22" s="2" t="n">
        <v>5</v>
      </c>
      <c r="B22" s="2" t="s">
        <v>212</v>
      </c>
      <c r="C22" s="2" t="s">
        <v>213</v>
      </c>
      <c r="D22" s="2" t="s">
        <v>214</v>
      </c>
    </row>
    <row r="23" customFormat="false" ht="54.75" hidden="false" customHeight="true" outlineLevel="0" collapsed="false">
      <c r="A23" s="2" t="n">
        <v>6</v>
      </c>
      <c r="B23" s="2" t="s">
        <v>215</v>
      </c>
      <c r="C23" s="2" t="s">
        <v>216</v>
      </c>
      <c r="D23" s="2" t="s">
        <v>217</v>
      </c>
    </row>
    <row r="24" customFormat="false" ht="54.75" hidden="false" customHeight="true" outlineLevel="0" collapsed="false">
      <c r="A24" s="2" t="n">
        <v>7</v>
      </c>
      <c r="B24" s="2" t="s">
        <v>218</v>
      </c>
      <c r="C24" s="2" t="s">
        <v>219</v>
      </c>
      <c r="D24" s="2" t="s">
        <v>220</v>
      </c>
    </row>
    <row r="25" customFormat="false" ht="54.75" hidden="false" customHeight="true" outlineLevel="0" collapsed="false">
      <c r="A25" s="2" t="n">
        <v>8</v>
      </c>
      <c r="B25" s="2" t="s">
        <v>221</v>
      </c>
      <c r="C25" s="2" t="s">
        <v>222</v>
      </c>
      <c r="D25" s="2" t="s">
        <v>223</v>
      </c>
    </row>
    <row r="26" customFormat="false" ht="54.75" hidden="false" customHeight="true" outlineLevel="0" collapsed="false">
      <c r="A26" s="2" t="n">
        <v>9</v>
      </c>
      <c r="B26" s="2" t="s">
        <v>198</v>
      </c>
      <c r="C26" s="2" t="s">
        <v>224</v>
      </c>
      <c r="D26" s="2" t="s">
        <v>225</v>
      </c>
    </row>
    <row r="28" customFormat="false" ht="21.75" hidden="false" customHeight="true" outlineLevel="0" collapsed="false">
      <c r="A28" s="8" t="s">
        <v>226</v>
      </c>
      <c r="B28" s="8"/>
      <c r="C28" s="8"/>
      <c r="D28" s="8"/>
    </row>
    <row r="29" customFormat="false" ht="19.5" hidden="false" customHeight="true" outlineLevel="0" collapsed="false">
      <c r="A29" s="9" t="s">
        <v>168</v>
      </c>
      <c r="B29" s="9" t="s">
        <v>169</v>
      </c>
      <c r="C29" s="9" t="s">
        <v>170</v>
      </c>
      <c r="D29" s="9" t="s">
        <v>171</v>
      </c>
    </row>
    <row r="30" customFormat="false" ht="54.75" hidden="false" customHeight="true" outlineLevel="0" collapsed="false">
      <c r="A30" s="2" t="n">
        <v>1</v>
      </c>
      <c r="B30" s="2" t="s">
        <v>172</v>
      </c>
      <c r="C30" s="2" t="s">
        <v>72</v>
      </c>
      <c r="D30" s="2" t="s">
        <v>227</v>
      </c>
    </row>
    <row r="31" customFormat="false" ht="54.75" hidden="false" customHeight="true" outlineLevel="0" collapsed="false">
      <c r="A31" s="2" t="n">
        <v>2</v>
      </c>
      <c r="B31" s="2" t="s">
        <v>228</v>
      </c>
      <c r="C31" s="2" t="s">
        <v>229</v>
      </c>
      <c r="D31" s="2" t="s">
        <v>230</v>
      </c>
    </row>
    <row r="32" customFormat="false" ht="54.75" hidden="false" customHeight="true" outlineLevel="0" collapsed="false">
      <c r="A32" s="2" t="n">
        <v>3</v>
      </c>
      <c r="B32" s="2" t="s">
        <v>231</v>
      </c>
      <c r="C32" s="2" t="s">
        <v>232</v>
      </c>
      <c r="D32" s="2" t="s">
        <v>233</v>
      </c>
    </row>
    <row r="33" customFormat="false" ht="54.75" hidden="false" customHeight="true" outlineLevel="0" collapsed="false">
      <c r="A33" s="2" t="n">
        <v>4</v>
      </c>
      <c r="B33" s="2" t="s">
        <v>234</v>
      </c>
      <c r="C33" s="2" t="s">
        <v>235</v>
      </c>
      <c r="D33" s="2" t="s">
        <v>236</v>
      </c>
    </row>
    <row r="34" customFormat="false" ht="54.75" hidden="false" customHeight="true" outlineLevel="0" collapsed="false">
      <c r="A34" s="2" t="n">
        <v>5</v>
      </c>
      <c r="B34" s="2" t="s">
        <v>237</v>
      </c>
      <c r="C34" s="2" t="s">
        <v>238</v>
      </c>
      <c r="D34" s="2" t="s">
        <v>239</v>
      </c>
    </row>
    <row r="35" customFormat="false" ht="54.75" hidden="false" customHeight="true" outlineLevel="0" collapsed="false">
      <c r="A35" s="2" t="n">
        <v>6</v>
      </c>
      <c r="B35" s="2" t="s">
        <v>240</v>
      </c>
      <c r="C35" s="2" t="s">
        <v>241</v>
      </c>
      <c r="D35" s="2" t="s">
        <v>242</v>
      </c>
    </row>
    <row r="36" customFormat="false" ht="54.75" hidden="false" customHeight="true" outlineLevel="0" collapsed="false">
      <c r="A36" s="2" t="n">
        <v>7</v>
      </c>
      <c r="B36" s="2" t="s">
        <v>243</v>
      </c>
      <c r="C36" s="2" t="s">
        <v>244</v>
      </c>
      <c r="D36" s="2" t="s">
        <v>245</v>
      </c>
    </row>
    <row r="37" customFormat="false" ht="54.75" hidden="false" customHeight="true" outlineLevel="0" collapsed="false">
      <c r="A37" s="2" t="n">
        <v>8</v>
      </c>
      <c r="B37" s="2" t="s">
        <v>246</v>
      </c>
      <c r="C37" s="2" t="s">
        <v>247</v>
      </c>
      <c r="D37" s="2" t="s">
        <v>248</v>
      </c>
    </row>
    <row r="38" customFormat="false" ht="54.75" hidden="false" customHeight="true" outlineLevel="0" collapsed="false">
      <c r="A38" s="2" t="n">
        <v>9</v>
      </c>
      <c r="B38" s="2" t="s">
        <v>198</v>
      </c>
      <c r="C38" s="2" t="s">
        <v>249</v>
      </c>
      <c r="D38" s="2" t="s">
        <v>250</v>
      </c>
    </row>
    <row r="40" customFormat="false" ht="21.75" hidden="false" customHeight="true" outlineLevel="0" collapsed="false">
      <c r="A40" s="8" t="s">
        <v>251</v>
      </c>
      <c r="B40" s="8"/>
      <c r="C40" s="8"/>
      <c r="D40" s="8"/>
    </row>
    <row r="41" customFormat="false" ht="19.5" hidden="false" customHeight="true" outlineLevel="0" collapsed="false">
      <c r="A41" s="9" t="s">
        <v>168</v>
      </c>
      <c r="B41" s="9" t="s">
        <v>169</v>
      </c>
      <c r="C41" s="9" t="s">
        <v>170</v>
      </c>
      <c r="D41" s="9" t="s">
        <v>171</v>
      </c>
    </row>
    <row r="42" customFormat="false" ht="54.75" hidden="false" customHeight="true" outlineLevel="0" collapsed="false">
      <c r="A42" s="2" t="n">
        <v>1</v>
      </c>
      <c r="B42" s="2" t="s">
        <v>172</v>
      </c>
      <c r="C42" s="2" t="s">
        <v>99</v>
      </c>
      <c r="D42" s="2" t="s">
        <v>252</v>
      </c>
    </row>
    <row r="43" customFormat="false" ht="54.75" hidden="false" customHeight="true" outlineLevel="0" collapsed="false">
      <c r="A43" s="2" t="n">
        <v>2</v>
      </c>
      <c r="B43" s="2" t="s">
        <v>253</v>
      </c>
      <c r="C43" s="2" t="s">
        <v>254</v>
      </c>
      <c r="D43" s="2" t="s">
        <v>255</v>
      </c>
    </row>
    <row r="44" customFormat="false" ht="54.75" hidden="false" customHeight="true" outlineLevel="0" collapsed="false">
      <c r="A44" s="2" t="n">
        <v>3</v>
      </c>
      <c r="B44" s="2" t="s">
        <v>256</v>
      </c>
      <c r="C44" s="2" t="s">
        <v>257</v>
      </c>
      <c r="D44" s="2" t="s">
        <v>258</v>
      </c>
    </row>
    <row r="45" customFormat="false" ht="54.75" hidden="false" customHeight="true" outlineLevel="0" collapsed="false">
      <c r="A45" s="2" t="n">
        <v>4</v>
      </c>
      <c r="B45" s="2" t="s">
        <v>259</v>
      </c>
      <c r="C45" s="2" t="s">
        <v>260</v>
      </c>
      <c r="D45" s="2" t="s">
        <v>261</v>
      </c>
    </row>
    <row r="46" customFormat="false" ht="54.75" hidden="false" customHeight="true" outlineLevel="0" collapsed="false">
      <c r="A46" s="2" t="n">
        <v>5</v>
      </c>
      <c r="B46" s="2" t="s">
        <v>262</v>
      </c>
      <c r="C46" s="2" t="s">
        <v>263</v>
      </c>
      <c r="D46" s="2" t="s">
        <v>264</v>
      </c>
    </row>
    <row r="47" customFormat="false" ht="54.75" hidden="false" customHeight="true" outlineLevel="0" collapsed="false">
      <c r="A47" s="2" t="n">
        <v>6</v>
      </c>
      <c r="B47" s="2" t="s">
        <v>265</v>
      </c>
      <c r="C47" s="2" t="s">
        <v>266</v>
      </c>
      <c r="D47" s="2" t="s">
        <v>267</v>
      </c>
    </row>
    <row r="48" customFormat="false" ht="54.75" hidden="false" customHeight="true" outlineLevel="0" collapsed="false">
      <c r="A48" s="2" t="n">
        <v>7</v>
      </c>
      <c r="B48" s="2" t="s">
        <v>268</v>
      </c>
      <c r="C48" s="2" t="s">
        <v>269</v>
      </c>
      <c r="D48" s="2" t="s">
        <v>270</v>
      </c>
    </row>
    <row r="49" customFormat="false" ht="54.75" hidden="false" customHeight="true" outlineLevel="0" collapsed="false">
      <c r="A49" s="2" t="n">
        <v>8</v>
      </c>
      <c r="B49" s="2" t="s">
        <v>271</v>
      </c>
      <c r="C49" s="2" t="s">
        <v>272</v>
      </c>
      <c r="D49" s="2" t="s">
        <v>273</v>
      </c>
    </row>
    <row r="50" customFormat="false" ht="54.75" hidden="false" customHeight="true" outlineLevel="0" collapsed="false">
      <c r="A50" s="2" t="n">
        <v>9</v>
      </c>
      <c r="B50" s="2" t="s">
        <v>198</v>
      </c>
      <c r="C50" s="2" t="s">
        <v>274</v>
      </c>
      <c r="D50" s="2" t="s">
        <v>275</v>
      </c>
    </row>
    <row r="52" customFormat="false" ht="21.75" hidden="false" customHeight="true" outlineLevel="0" collapsed="false">
      <c r="A52" s="8" t="s">
        <v>276</v>
      </c>
      <c r="B52" s="8"/>
      <c r="C52" s="8"/>
      <c r="D52" s="8"/>
    </row>
    <row r="53" customFormat="false" ht="19.5" hidden="false" customHeight="true" outlineLevel="0" collapsed="false">
      <c r="A53" s="9" t="s">
        <v>168</v>
      </c>
      <c r="B53" s="9" t="s">
        <v>169</v>
      </c>
      <c r="C53" s="9" t="s">
        <v>170</v>
      </c>
      <c r="D53" s="9" t="s">
        <v>171</v>
      </c>
    </row>
    <row r="54" customFormat="false" ht="54.75" hidden="false" customHeight="true" outlineLevel="0" collapsed="false">
      <c r="A54" s="2" t="n">
        <v>1</v>
      </c>
      <c r="B54" s="2" t="s">
        <v>172</v>
      </c>
      <c r="C54" s="2" t="s">
        <v>125</v>
      </c>
      <c r="D54" s="2" t="s">
        <v>277</v>
      </c>
    </row>
    <row r="55" customFormat="false" ht="54.75" hidden="false" customHeight="true" outlineLevel="0" collapsed="false">
      <c r="A55" s="2" t="n">
        <v>2</v>
      </c>
      <c r="B55" s="2" t="s">
        <v>278</v>
      </c>
      <c r="C55" s="2" t="s">
        <v>279</v>
      </c>
      <c r="D55" s="2" t="s">
        <v>280</v>
      </c>
    </row>
    <row r="56" customFormat="false" ht="54.75" hidden="false" customHeight="true" outlineLevel="0" collapsed="false">
      <c r="A56" s="2" t="n">
        <v>3</v>
      </c>
      <c r="B56" s="2" t="s">
        <v>281</v>
      </c>
      <c r="C56" s="2" t="s">
        <v>282</v>
      </c>
      <c r="D56" s="2" t="s">
        <v>283</v>
      </c>
    </row>
    <row r="57" customFormat="false" ht="54.75" hidden="false" customHeight="true" outlineLevel="0" collapsed="false">
      <c r="A57" s="2" t="n">
        <v>4</v>
      </c>
      <c r="B57" s="2" t="s">
        <v>284</v>
      </c>
      <c r="C57" s="2" t="s">
        <v>285</v>
      </c>
      <c r="D57" s="2" t="s">
        <v>286</v>
      </c>
    </row>
    <row r="58" customFormat="false" ht="54.75" hidden="false" customHeight="true" outlineLevel="0" collapsed="false">
      <c r="A58" s="2" t="n">
        <v>5</v>
      </c>
      <c r="B58" s="2" t="s">
        <v>287</v>
      </c>
      <c r="C58" s="2" t="s">
        <v>288</v>
      </c>
      <c r="D58" s="2" t="s">
        <v>289</v>
      </c>
    </row>
    <row r="59" customFormat="false" ht="54.75" hidden="false" customHeight="true" outlineLevel="0" collapsed="false">
      <c r="A59" s="2" t="n">
        <v>6</v>
      </c>
      <c r="B59" s="2" t="s">
        <v>290</v>
      </c>
      <c r="C59" s="2" t="s">
        <v>291</v>
      </c>
      <c r="D59" s="2" t="s">
        <v>292</v>
      </c>
    </row>
    <row r="60" customFormat="false" ht="54.75" hidden="false" customHeight="true" outlineLevel="0" collapsed="false">
      <c r="A60" s="2" t="n">
        <v>7</v>
      </c>
      <c r="B60" s="2" t="s">
        <v>293</v>
      </c>
      <c r="C60" s="2" t="s">
        <v>294</v>
      </c>
      <c r="D60" s="2" t="s">
        <v>295</v>
      </c>
    </row>
    <row r="61" customFormat="false" ht="54.75" hidden="false" customHeight="true" outlineLevel="0" collapsed="false">
      <c r="A61" s="2" t="n">
        <v>8</v>
      </c>
      <c r="B61" s="2" t="s">
        <v>296</v>
      </c>
      <c r="C61" s="2" t="s">
        <v>297</v>
      </c>
      <c r="D61" s="2" t="s">
        <v>298</v>
      </c>
    </row>
    <row r="62" customFormat="false" ht="54.75" hidden="false" customHeight="true" outlineLevel="0" collapsed="false">
      <c r="A62" s="2" t="n">
        <v>9</v>
      </c>
      <c r="B62" s="2" t="s">
        <v>198</v>
      </c>
      <c r="C62" s="2" t="s">
        <v>299</v>
      </c>
      <c r="D62" s="2" t="s">
        <v>300</v>
      </c>
    </row>
    <row r="64" customFormat="false" ht="21.75" hidden="false" customHeight="true" outlineLevel="0" collapsed="false">
      <c r="A64" s="8" t="s">
        <v>301</v>
      </c>
      <c r="B64" s="8"/>
      <c r="C64" s="8"/>
      <c r="D64" s="8"/>
    </row>
    <row r="65" customFormat="false" ht="19.5" hidden="false" customHeight="true" outlineLevel="0" collapsed="false">
      <c r="A65" s="9" t="s">
        <v>168</v>
      </c>
      <c r="B65" s="9" t="s">
        <v>169</v>
      </c>
      <c r="C65" s="9" t="s">
        <v>170</v>
      </c>
      <c r="D65" s="9" t="s">
        <v>171</v>
      </c>
    </row>
    <row r="66" customFormat="false" ht="54.75" hidden="false" customHeight="true" outlineLevel="0" collapsed="false">
      <c r="A66" s="2" t="n">
        <v>1</v>
      </c>
      <c r="B66" s="2" t="s">
        <v>172</v>
      </c>
      <c r="C66" s="2" t="s">
        <v>132</v>
      </c>
      <c r="D66" s="2" t="s">
        <v>302</v>
      </c>
    </row>
    <row r="67" customFormat="false" ht="54.75" hidden="false" customHeight="true" outlineLevel="0" collapsed="false">
      <c r="A67" s="2" t="n">
        <v>2</v>
      </c>
      <c r="B67" s="2" t="s">
        <v>303</v>
      </c>
      <c r="C67" s="2" t="s">
        <v>304</v>
      </c>
      <c r="D67" s="2" t="s">
        <v>305</v>
      </c>
    </row>
    <row r="68" customFormat="false" ht="54.75" hidden="false" customHeight="true" outlineLevel="0" collapsed="false">
      <c r="A68" s="2" t="n">
        <v>3</v>
      </c>
      <c r="B68" s="2" t="s">
        <v>306</v>
      </c>
      <c r="C68" s="2" t="s">
        <v>307</v>
      </c>
      <c r="D68" s="2" t="s">
        <v>308</v>
      </c>
    </row>
    <row r="69" customFormat="false" ht="54.75" hidden="false" customHeight="true" outlineLevel="0" collapsed="false">
      <c r="A69" s="2" t="n">
        <v>4</v>
      </c>
      <c r="B69" s="2" t="s">
        <v>309</v>
      </c>
      <c r="C69" s="2" t="s">
        <v>310</v>
      </c>
      <c r="D69" s="2" t="s">
        <v>311</v>
      </c>
    </row>
    <row r="70" customFormat="false" ht="54.75" hidden="false" customHeight="true" outlineLevel="0" collapsed="false">
      <c r="A70" s="2" t="n">
        <v>5</v>
      </c>
      <c r="B70" s="2" t="s">
        <v>312</v>
      </c>
      <c r="C70" s="2" t="s">
        <v>313</v>
      </c>
      <c r="D70" s="2" t="s">
        <v>314</v>
      </c>
    </row>
    <row r="71" customFormat="false" ht="54.75" hidden="false" customHeight="true" outlineLevel="0" collapsed="false">
      <c r="A71" s="2" t="n">
        <v>6</v>
      </c>
      <c r="B71" s="2" t="s">
        <v>315</v>
      </c>
      <c r="C71" s="2" t="s">
        <v>316</v>
      </c>
      <c r="D71" s="2" t="s">
        <v>317</v>
      </c>
    </row>
    <row r="72" customFormat="false" ht="54.75" hidden="false" customHeight="true" outlineLevel="0" collapsed="false">
      <c r="A72" s="2" t="n">
        <v>7</v>
      </c>
      <c r="B72" s="2" t="s">
        <v>318</v>
      </c>
      <c r="C72" s="2" t="s">
        <v>319</v>
      </c>
      <c r="D72" s="2" t="s">
        <v>320</v>
      </c>
    </row>
    <row r="73" customFormat="false" ht="54.75" hidden="false" customHeight="true" outlineLevel="0" collapsed="false">
      <c r="A73" s="2" t="n">
        <v>8</v>
      </c>
      <c r="B73" s="2" t="s">
        <v>296</v>
      </c>
      <c r="C73" s="2" t="s">
        <v>321</v>
      </c>
      <c r="D73" s="2" t="s">
        <v>322</v>
      </c>
    </row>
    <row r="74" customFormat="false" ht="54.75" hidden="false" customHeight="true" outlineLevel="0" collapsed="false">
      <c r="A74" s="2" t="n">
        <v>9</v>
      </c>
      <c r="B74" s="2" t="s">
        <v>198</v>
      </c>
      <c r="C74" s="2" t="s">
        <v>323</v>
      </c>
      <c r="D74" s="2" t="s">
        <v>324</v>
      </c>
    </row>
  </sheetData>
  <mergeCells count="6">
    <mergeCell ref="A3:D3"/>
    <mergeCell ref="A16:D16"/>
    <mergeCell ref="A28:D28"/>
    <mergeCell ref="A40:D40"/>
    <mergeCell ref="A52:D52"/>
    <mergeCell ref="A64:D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32"/>
    <col collapsed="false" customWidth="true" hidden="false" outlineLevel="0" max="3" min="3" style="0" width="68"/>
  </cols>
  <sheetData>
    <row r="1" customFormat="false" ht="19.5" hidden="false" customHeight="true" outlineLevel="0" collapsed="false">
      <c r="A1" s="10" t="s">
        <v>325</v>
      </c>
      <c r="B1" s="10" t="s">
        <v>326</v>
      </c>
      <c r="C1" s="10" t="s">
        <v>9</v>
      </c>
    </row>
    <row r="2" customFormat="false" ht="27.75" hidden="false" customHeight="true" outlineLevel="0" collapsed="false">
      <c r="A2" s="2" t="s">
        <v>327</v>
      </c>
      <c r="B2" s="2" t="s">
        <v>328</v>
      </c>
      <c r="C2" s="2" t="s">
        <v>329</v>
      </c>
    </row>
    <row r="3" customFormat="false" ht="27.75" hidden="false" customHeight="true" outlineLevel="0" collapsed="false">
      <c r="A3" s="2" t="s">
        <v>330</v>
      </c>
      <c r="B3" s="2" t="s">
        <v>331</v>
      </c>
      <c r="C3" s="2" t="s">
        <v>332</v>
      </c>
    </row>
    <row r="4" customFormat="false" ht="27.75" hidden="false" customHeight="true" outlineLevel="0" collapsed="false">
      <c r="A4" s="2" t="s">
        <v>333</v>
      </c>
      <c r="B4" s="2" t="s">
        <v>334</v>
      </c>
      <c r="C4" s="2" t="s">
        <v>335</v>
      </c>
    </row>
    <row r="5" customFormat="false" ht="27.75" hidden="false" customHeight="true" outlineLevel="0" collapsed="false">
      <c r="A5" s="2" t="s">
        <v>336</v>
      </c>
      <c r="B5" s="2" t="s">
        <v>337</v>
      </c>
      <c r="C5" s="2" t="s">
        <v>338</v>
      </c>
    </row>
    <row r="6" customFormat="false" ht="27.75" hidden="false" customHeight="true" outlineLevel="0" collapsed="false">
      <c r="A6" s="2" t="s">
        <v>339</v>
      </c>
      <c r="B6" s="2" t="s">
        <v>340</v>
      </c>
      <c r="C6" s="2" t="s">
        <v>341</v>
      </c>
    </row>
    <row r="7" customFormat="false" ht="27.75" hidden="false" customHeight="true" outlineLevel="0" collapsed="false">
      <c r="A7" s="2" t="s">
        <v>342</v>
      </c>
      <c r="B7" s="2" t="s">
        <v>343</v>
      </c>
      <c r="C7" s="2" t="s">
        <v>344</v>
      </c>
    </row>
    <row r="8" customFormat="false" ht="27.75" hidden="false" customHeight="true" outlineLevel="0" collapsed="false">
      <c r="A8" s="2" t="s">
        <v>345</v>
      </c>
      <c r="B8" s="2" t="s">
        <v>346</v>
      </c>
      <c r="C8" s="2" t="s">
        <v>347</v>
      </c>
    </row>
    <row r="9" customFormat="false" ht="27.75" hidden="false" customHeight="true" outlineLevel="0" collapsed="false">
      <c r="A9" s="2" t="s">
        <v>348</v>
      </c>
      <c r="B9" s="2" t="s">
        <v>349</v>
      </c>
      <c r="C9" s="2" t="s">
        <v>350</v>
      </c>
    </row>
    <row r="10" customFormat="false" ht="27.75" hidden="false" customHeight="true" outlineLevel="0" collapsed="false">
      <c r="A10" s="2" t="s">
        <v>351</v>
      </c>
      <c r="B10" s="2" t="s">
        <v>352</v>
      </c>
      <c r="C10" s="2" t="s">
        <v>353</v>
      </c>
    </row>
    <row r="11" customFormat="false" ht="27.75" hidden="false" customHeight="true" outlineLevel="0" collapsed="false">
      <c r="A11" s="2" t="s">
        <v>354</v>
      </c>
      <c r="B11" s="2" t="s">
        <v>355</v>
      </c>
      <c r="C11" s="2" t="s">
        <v>356</v>
      </c>
    </row>
    <row r="12" customFormat="false" ht="27.75" hidden="false" customHeight="true" outlineLevel="0" collapsed="false">
      <c r="A12" s="2" t="s">
        <v>357</v>
      </c>
      <c r="B12" s="2" t="s">
        <v>358</v>
      </c>
      <c r="C12" s="2" t="s">
        <v>359</v>
      </c>
    </row>
    <row r="13" customFormat="false" ht="27.75" hidden="false" customHeight="true" outlineLevel="0" collapsed="false">
      <c r="A13" s="2" t="s">
        <v>360</v>
      </c>
      <c r="B13" s="2" t="s">
        <v>361</v>
      </c>
      <c r="C13" s="2" t="s">
        <v>362</v>
      </c>
    </row>
    <row r="14" customFormat="false" ht="27.75" hidden="false" customHeight="true" outlineLevel="0" collapsed="false">
      <c r="A14" s="2" t="s">
        <v>363</v>
      </c>
      <c r="B14" s="2" t="s">
        <v>364</v>
      </c>
      <c r="C14" s="2" t="s">
        <v>365</v>
      </c>
    </row>
    <row r="15" customFormat="false" ht="27.75" hidden="false" customHeight="true" outlineLevel="0" collapsed="false">
      <c r="A15" s="2" t="s">
        <v>366</v>
      </c>
      <c r="B15" s="2" t="s">
        <v>367</v>
      </c>
      <c r="C15" s="2" t="s">
        <v>368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16"/>
    <col collapsed="false" customWidth="true" hidden="false" outlineLevel="0" max="4" min="4" style="0" width="24"/>
    <col collapsed="false" customWidth="true" hidden="false" outlineLevel="0" max="5" min="5" style="0" width="12"/>
    <col collapsed="false" customWidth="true" hidden="false" outlineLevel="0" max="6" min="6" style="0" width="14"/>
  </cols>
  <sheetData>
    <row r="1" customFormat="false" ht="25.5" hidden="false" customHeight="true" outlineLevel="0" collapsed="false">
      <c r="A1" s="10" t="s">
        <v>4</v>
      </c>
      <c r="B1" s="10" t="s">
        <v>369</v>
      </c>
      <c r="C1" s="10" t="s">
        <v>370</v>
      </c>
      <c r="D1" s="10" t="s">
        <v>371</v>
      </c>
      <c r="E1" s="10" t="s">
        <v>372</v>
      </c>
      <c r="F1" s="10" t="s">
        <v>12</v>
      </c>
    </row>
    <row r="2" customFormat="false" ht="15" hidden="false" customHeight="false" outlineLevel="0" collapsed="false">
      <c r="A2" s="11" t="s">
        <v>16</v>
      </c>
      <c r="B2" s="12" t="n">
        <v>0.35</v>
      </c>
      <c r="C2" s="11" t="n">
        <f aca="false">ROUND(B2*$B$7,0)</f>
        <v>7</v>
      </c>
      <c r="D2" s="11" t="n">
        <f aca="false">COUNTIF('Month 2 Calendar'!E:E,"Education")</f>
        <v>7</v>
      </c>
      <c r="E2" s="11" t="n">
        <f aca="false">D2-C2</f>
        <v>0</v>
      </c>
      <c r="F2" s="11" t="str">
        <f aca="false">IF(E2=0,"On target",IF(E2&gt;0,"Over","Under"))</f>
        <v>On target</v>
      </c>
    </row>
    <row r="3" customFormat="false" ht="15" hidden="false" customHeight="false" outlineLevel="0" collapsed="false">
      <c r="A3" s="11" t="s">
        <v>27</v>
      </c>
      <c r="B3" s="12" t="n">
        <v>0.3</v>
      </c>
      <c r="C3" s="11" t="n">
        <f aca="false">ROUND(B3*$B$7,0)</f>
        <v>6</v>
      </c>
      <c r="D3" s="11" t="n">
        <f aca="false">COUNTIF('Month 2 Calendar'!E:E,"Product")</f>
        <v>6</v>
      </c>
      <c r="E3" s="11" t="n">
        <f aca="false">D3-C3</f>
        <v>0</v>
      </c>
      <c r="F3" s="11" t="str">
        <f aca="false">IF(E3=0,"On target",IF(E3&gt;0,"Over","Under"))</f>
        <v>On target</v>
      </c>
    </row>
    <row r="4" customFormat="false" ht="15" hidden="false" customHeight="false" outlineLevel="0" collapsed="false">
      <c r="A4" s="11" t="s">
        <v>46</v>
      </c>
      <c r="B4" s="12" t="n">
        <v>0.25</v>
      </c>
      <c r="C4" s="11" t="n">
        <f aca="false">ROUND(B4*$B$7,0)</f>
        <v>5</v>
      </c>
      <c r="D4" s="11" t="n">
        <f aca="false">COUNTIF('Month 2 Calendar'!E:E,"Client")</f>
        <v>5</v>
      </c>
      <c r="E4" s="11" t="n">
        <f aca="false">D4-C4</f>
        <v>0</v>
      </c>
      <c r="F4" s="11" t="str">
        <f aca="false">IF(E4=0,"On target",IF(E4&gt;0,"Over","Under"))</f>
        <v>On target</v>
      </c>
    </row>
    <row r="5" customFormat="false" ht="15" hidden="false" customHeight="false" outlineLevel="0" collapsed="false">
      <c r="A5" s="11" t="s">
        <v>145</v>
      </c>
      <c r="B5" s="12" t="n">
        <v>0.1</v>
      </c>
      <c r="C5" s="11" t="n">
        <f aca="false">ROUND(B5*$B$7,0)</f>
        <v>2</v>
      </c>
      <c r="D5" s="11" t="n">
        <f aca="false">COUNTIF('Month 2 Calendar'!E:E,"Promo")</f>
        <v>2</v>
      </c>
      <c r="E5" s="11" t="n">
        <f aca="false">D5-C5</f>
        <v>0</v>
      </c>
      <c r="F5" s="11" t="str">
        <f aca="false">IF(E5=0,"On target",IF(E5&gt;0,"Over","Under"))</f>
        <v>On target</v>
      </c>
    </row>
    <row r="6" customFormat="false" ht="15" hidden="false" customHeight="false" outlineLevel="0" collapsed="false">
      <c r="A6" s="13" t="s">
        <v>373</v>
      </c>
      <c r="B6" s="14" t="n">
        <f aca="false">SUM(B2:B5)</f>
        <v>1</v>
      </c>
      <c r="C6" s="13" t="n">
        <f aca="false">SUM(C2:C5)</f>
        <v>20</v>
      </c>
      <c r="D6" s="13" t="n">
        <f aca="false">SUM(D2:D5)</f>
        <v>20</v>
      </c>
    </row>
    <row r="7" customFormat="false" ht="15" hidden="false" customHeight="false" outlineLevel="0" collapsed="false">
      <c r="A7" s="13" t="s">
        <v>374</v>
      </c>
      <c r="B7" s="13" t="n">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2026-04-14T16:18:05Z</dcterms:created>
  <dc:creator>openpyxl</dc:creator>
  <dc:description/>
  <dc:language>en-US</dc:language>
  <cp:lastModifiedBy/>
  <dcterms:modified xsi:type="dcterms:W3CDTF">2026-04-14T16:18:05Z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